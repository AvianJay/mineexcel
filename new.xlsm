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bookViews>
    <workbookView xWindow="0" yWindow="0" windowWidth="19365" windowHeight="8835"/>
  </bookViews>
  <sheets>
    <sheet name="Title Screen" sheetId="2" r:id="rId1"/>
    <sheet name="Game" sheetId="1" r:id="rId2"/>
    <sheet name="Expense Reports" sheetId="3" r:id="rId3"/>
    <sheet name="Workbench" sheetId="4" r:id="rId4"/>
    <sheet name="Sheet1" sheetId="5" r:id="rId5"/>
  </sheets>
  <functionGroups builtInGroupCount="18"/>
  <definedNames>
    <definedName name="GameScreen">Game!$B$2:$Q$13</definedName>
    <definedName name="InventoryRow">Game!$F$13:$N$13</definedName>
    <definedName name="KeyboardStatus">Game!$V$14</definedName>
  </definedNames>
  <calcPr calcId="152511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3" i="1" l="1"/>
  <c r="H13" i="1"/>
  <c r="I13" i="1"/>
  <c r="J13" i="1"/>
  <c r="K13" i="1"/>
  <c r="L13" i="1"/>
  <c r="N13" i="1"/>
  <c r="F13" i="1"/>
  <c r="E7" i="4" l="1"/>
  <c r="F7" i="4"/>
  <c r="G7" i="4"/>
  <c r="H7" i="4"/>
  <c r="I7" i="4"/>
  <c r="J7" i="4"/>
  <c r="K7" i="4"/>
  <c r="E8" i="4"/>
  <c r="F8" i="4"/>
  <c r="G8" i="4"/>
  <c r="H8" i="4"/>
  <c r="I8" i="4"/>
  <c r="J8" i="4"/>
  <c r="K8" i="4"/>
  <c r="G9" i="4"/>
  <c r="H9" i="4"/>
  <c r="I9" i="4"/>
  <c r="J9" i="4"/>
  <c r="K9" i="4"/>
  <c r="L11" i="4"/>
  <c r="M13" i="1" s="1"/>
  <c r="M11" i="4"/>
  <c r="K4" i="4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</calcChain>
</file>

<file path=xl/sharedStrings.xml><?xml version="1.0" encoding="utf-8"?>
<sst xmlns="http://schemas.openxmlformats.org/spreadsheetml/2006/main" count="427" uniqueCount="234">
  <si>
    <t>Definitely a Minecraft 2 beta</t>
  </si>
  <si>
    <t>Fiscal Year 2014 Q1</t>
  </si>
  <si>
    <t>Asset</t>
  </si>
  <si>
    <t>Asset Tag</t>
  </si>
  <si>
    <t>Date</t>
  </si>
  <si>
    <t>Cost</t>
  </si>
  <si>
    <t>Expense</t>
  </si>
  <si>
    <t>Value</t>
  </si>
  <si>
    <t>TTC</t>
  </si>
  <si>
    <t>Ladder</t>
  </si>
  <si>
    <t>Rail</t>
  </si>
  <si>
    <t>Cobblestone Stairs</t>
  </si>
  <si>
    <t>Wall-mounted Sign Block</t>
  </si>
  <si>
    <t>Lever</t>
  </si>
  <si>
    <t>Stone Pressure Plate</t>
  </si>
  <si>
    <t>Iron Door Block</t>
  </si>
  <si>
    <t>Wooden Pressure Plate</t>
  </si>
  <si>
    <t>Redstone Ore</t>
  </si>
  <si>
    <t>Glowing Redstone Ore</t>
  </si>
  <si>
    <t>Redstone Torch (off)</t>
  </si>
  <si>
    <t>Redstone Torch (on)</t>
  </si>
  <si>
    <t>Stone Button</t>
  </si>
  <si>
    <t>Snow</t>
  </si>
  <si>
    <t>Ice</t>
  </si>
  <si>
    <t>Snow Block</t>
  </si>
  <si>
    <t>Cactus</t>
  </si>
  <si>
    <t>Clay</t>
  </si>
  <si>
    <t>Sugar Canes</t>
  </si>
  <si>
    <t>Jukebox</t>
  </si>
  <si>
    <t>Oak Fence</t>
  </si>
  <si>
    <t>Pumpkin</t>
  </si>
  <si>
    <t>Netherrack</t>
  </si>
  <si>
    <t>Soul Sand</t>
  </si>
  <si>
    <t>Glowstone</t>
  </si>
  <si>
    <t>Nether Portal</t>
  </si>
  <si>
    <t>Jack o'Lantern</t>
  </si>
  <si>
    <t>Cake Block</t>
  </si>
  <si>
    <t>Redstone Repeater Block (off)</t>
  </si>
  <si>
    <t>Redstone Repeater Block (on)</t>
  </si>
  <si>
    <t>White Stained Glass</t>
  </si>
  <si>
    <t>Orange Stained Glass</t>
  </si>
  <si>
    <t>Magenta Stained Glass</t>
  </si>
  <si>
    <t>Light Blue Stained Glass</t>
  </si>
  <si>
    <t>Yellow Stained Glass</t>
  </si>
  <si>
    <t>Lime Stained Glass</t>
  </si>
  <si>
    <t>Pink Stained Glass</t>
  </si>
  <si>
    <t>Gray Stained Glass</t>
  </si>
  <si>
    <t>Light Gray Stained Glass</t>
  </si>
  <si>
    <t>Cyan Stained Glass</t>
  </si>
  <si>
    <t>Purple Stained Glass</t>
  </si>
  <si>
    <t>Blue Stained Glass</t>
  </si>
  <si>
    <t>Brown Stained Glass</t>
  </si>
  <si>
    <t>Green Stained Glass</t>
  </si>
  <si>
    <t>Red Stained Glass</t>
  </si>
  <si>
    <t>Black Stained Glass</t>
  </si>
  <si>
    <t>Wooden Trapdoor</t>
  </si>
  <si>
    <t>Stone Monster Egg</t>
  </si>
  <si>
    <t>Cobblestone Monster Egg</t>
  </si>
  <si>
    <t>Stone Brick Monster Egg</t>
  </si>
  <si>
    <t>Mossy Stone Brick Monster Egg</t>
  </si>
  <si>
    <t>Cracked Stone Brick Monster Egg</t>
  </si>
  <si>
    <t>Chiseled Stone Brick Monster Egg</t>
  </si>
  <si>
    <t>Stone Bricks</t>
  </si>
  <si>
    <t>Mossy Stone Bricks</t>
  </si>
  <si>
    <t>Cracked Stone Bricks</t>
  </si>
  <si>
    <t>Chiseled Stone Bricks</t>
  </si>
  <si>
    <t>Red Mushroom Cap</t>
  </si>
  <si>
    <t>Brown Mushroom Cap</t>
  </si>
  <si>
    <t>Iron Bars</t>
  </si>
  <si>
    <t>Glass Pane</t>
  </si>
  <si>
    <t>Melon Block</t>
  </si>
  <si>
    <t>Pumpkin Stem</t>
  </si>
  <si>
    <t>Melon Stem</t>
  </si>
  <si>
    <t>Vines</t>
  </si>
  <si>
    <t>Oak Fence Gate</t>
  </si>
  <si>
    <t>Brick Stairs</t>
  </si>
  <si>
    <t>Stone Brick Stairs</t>
  </si>
  <si>
    <t>Mycelium</t>
  </si>
  <si>
    <t>Lily Pad</t>
  </si>
  <si>
    <t>Nether Brick</t>
  </si>
  <si>
    <t>Nether Brick Fence</t>
  </si>
  <si>
    <t>Nether Brick Stairs</t>
  </si>
  <si>
    <t>Nether Wart</t>
  </si>
  <si>
    <t>Enchantment Table</t>
  </si>
  <si>
    <t>Brewing Stand</t>
  </si>
  <si>
    <t>Cauldron</t>
  </si>
  <si>
    <t>End Portal</t>
  </si>
  <si>
    <t>End Portal Frame</t>
  </si>
  <si>
    <t>End Stone</t>
  </si>
  <si>
    <t>Dragon Egg</t>
  </si>
  <si>
    <t>Redstone Lamp (inactive)</t>
  </si>
  <si>
    <t>Redstone Lamp (active)</t>
  </si>
  <si>
    <t>Double Oak Wood Slab</t>
  </si>
  <si>
    <t>Double Spruce Wood Slab</t>
  </si>
  <si>
    <t>Double Birch Wood Slab</t>
  </si>
  <si>
    <t>Double Jungle Wood Slab</t>
  </si>
  <si>
    <t>Double Acacia Wood Slab</t>
  </si>
  <si>
    <t>Double Dark Oak Wood Slab</t>
  </si>
  <si>
    <t>Oak Wood Slab</t>
  </si>
  <si>
    <t>Spruce Wood Slab</t>
  </si>
  <si>
    <t>Birch Wood Slab</t>
  </si>
  <si>
    <t>Jungle Wood Slab</t>
  </si>
  <si>
    <t>Acacia Wood Slab</t>
  </si>
  <si>
    <t>Dark Oak Wood Slab</t>
  </si>
  <si>
    <t>Cocoa</t>
  </si>
  <si>
    <t>Sandstone Stairs</t>
  </si>
  <si>
    <t>Emerald Ore</t>
  </si>
  <si>
    <t>Ender Chest</t>
  </si>
  <si>
    <t>Tripwire Hook</t>
  </si>
  <si>
    <t>Tripwire</t>
  </si>
  <si>
    <t>Emerald Block</t>
  </si>
  <si>
    <t>Spruce Wood Stairs</t>
  </si>
  <si>
    <t>Birch Wood Stairs</t>
  </si>
  <si>
    <t>Jungle Wood Stairs</t>
  </si>
  <si>
    <t>Command Block</t>
  </si>
  <si>
    <t>Beacon</t>
  </si>
  <si>
    <t>Cobblestone Wall</t>
  </si>
  <si>
    <t>Mossy Cobblestone Wall</t>
  </si>
  <si>
    <t>Flower Pot</t>
  </si>
  <si>
    <t>Carrots</t>
  </si>
  <si>
    <t>Potatoes</t>
  </si>
  <si>
    <t>Wooden Button</t>
  </si>
  <si>
    <t>Mob Head</t>
  </si>
  <si>
    <t>Anvil</t>
  </si>
  <si>
    <t>Trapped Chest</t>
  </si>
  <si>
    <t>Weighted Pressure Plate (light)</t>
  </si>
  <si>
    <t>Weighted Pressure Plate (heavy)</t>
  </si>
  <si>
    <t>Redstone Comparator (inactive)</t>
  </si>
  <si>
    <t>Redstone Comparator (active)</t>
  </si>
  <si>
    <t>Daylight Sensor</t>
  </si>
  <si>
    <t>Redstone Block</t>
  </si>
  <si>
    <t>Nether Quartz Ore</t>
  </si>
  <si>
    <t>Hopper</t>
  </si>
  <si>
    <t>Quartz Block</t>
  </si>
  <si>
    <t>Chiseled Quartz Block</t>
  </si>
  <si>
    <t>Pillar Quartz Block</t>
  </si>
  <si>
    <t>Quartz Stairs</t>
  </si>
  <si>
    <t>Activator Rail</t>
  </si>
  <si>
    <t>Dropper</t>
  </si>
  <si>
    <t>White Stained Clay</t>
  </si>
  <si>
    <t>Orange Stained Clay</t>
  </si>
  <si>
    <t>Magenta Stained Clay</t>
  </si>
  <si>
    <t>Light Blue Stained Clay</t>
  </si>
  <si>
    <t>Yellow Stained Clay</t>
  </si>
  <si>
    <t>Lime Stained Clay</t>
  </si>
  <si>
    <t>Pink Stained Clay</t>
  </si>
  <si>
    <t>Gray Stained Clay</t>
  </si>
  <si>
    <t>Light Gray Stained Clay</t>
  </si>
  <si>
    <t>Cyan Stained Clay</t>
  </si>
  <si>
    <t>Purple Stained Clay</t>
  </si>
  <si>
    <t>Blue Stained Clay</t>
  </si>
  <si>
    <t>Brown Stained Clay</t>
  </si>
  <si>
    <t>Green Stained Clay</t>
  </si>
  <si>
    <t>Red Stained Clay</t>
  </si>
  <si>
    <t>Black Stained Clay</t>
  </si>
  <si>
    <t>White Stained Glass Pane</t>
  </si>
  <si>
    <t>Orange Stained Glass Pane</t>
  </si>
  <si>
    <t>Magenta Stained Glass Pane</t>
  </si>
  <si>
    <t>Light Blue Stained Glass Pane</t>
  </si>
  <si>
    <t>Yellow Stained Glass Pane</t>
  </si>
  <si>
    <t>Lime Stained Glass Pane</t>
  </si>
  <si>
    <t>Pink Stained Glass Pane</t>
  </si>
  <si>
    <t>Gray Stained Glass Pane</t>
  </si>
  <si>
    <t>Light Gray Stained Glass Pane</t>
  </si>
  <si>
    <t>Cyan Stained Glass Pane</t>
  </si>
  <si>
    <t>Purple Stained Glass Pane</t>
  </si>
  <si>
    <t>Blue Stained Glass Pane</t>
  </si>
  <si>
    <t>Brown Stained Glass Pane</t>
  </si>
  <si>
    <t>Green Stained Glass Pane</t>
  </si>
  <si>
    <t>Red Stained Glass Pane</t>
  </si>
  <si>
    <t>Black Stained Glass Pane</t>
  </si>
  <si>
    <t>Acacia Leaves</t>
  </si>
  <si>
    <t>Dark Oak Leaves</t>
  </si>
  <si>
    <t>Acacia Wood</t>
  </si>
  <si>
    <t>Dark Oak Wood</t>
  </si>
  <si>
    <t>Acacia Wood Stairs</t>
  </si>
  <si>
    <t>Dark Oak Wood Stairs</t>
  </si>
  <si>
    <t>Category</t>
  </si>
  <si>
    <t>Row Labels</t>
  </si>
  <si>
    <t>Crafting</t>
  </si>
  <si>
    <t>Minecrafting</t>
  </si>
  <si>
    <t>Mining</t>
  </si>
  <si>
    <t>Grand Total</t>
  </si>
  <si>
    <t>Sum of Cost</t>
  </si>
  <si>
    <t>Sum of Value</t>
  </si>
  <si>
    <t>No</t>
  </si>
  <si>
    <t>Yes</t>
  </si>
  <si>
    <t>Average of TTC</t>
  </si>
  <si>
    <t>=======&gt;</t>
  </si>
  <si>
    <t>workbench 2.0</t>
  </si>
  <si>
    <t>Cheat Sheet:</t>
  </si>
  <si>
    <t xml:space="preserve"> </t>
  </si>
  <si>
    <t>"Game" tab:</t>
  </si>
  <si>
    <t>Click "Enable WASD" to turn on Steve movement - Excel will eat the WASD keys and move him around. There is no collision detection.</t>
  </si>
  <si>
    <t>Click "Disable WASD" to turn it off again so Excel stops eating the WASD keys (otherwise typing could be problematic)</t>
  </si>
  <si>
    <t>Click on an item in the inventory to "select" it (it should turn bold.)</t>
  </si>
  <si>
    <t>Click on a non-inventory square to interact with it</t>
  </si>
  <si>
    <t>"Crafting" tab:</t>
  </si>
  <si>
    <t>Wooden Shovel</t>
  </si>
  <si>
    <t>Wood</t>
  </si>
  <si>
    <t>Dirt</t>
  </si>
  <si>
    <t>GrassDirt</t>
  </si>
  <si>
    <t>Sky</t>
  </si>
  <si>
    <t>Leaves</t>
  </si>
  <si>
    <t>Wood Planks</t>
  </si>
  <si>
    <t>Wood Sticks</t>
  </si>
  <si>
    <t>Redstone Dust</t>
  </si>
  <si>
    <t>Type '=CRAFT("Wooden Pickaxe")' in the big cell, and it will say "Crafting Complete!" (if you mistype you'll get an error)</t>
  </si>
  <si>
    <t>Once the big cell says "Crafting Complete!", the results cell will say "Wooden Pickaxe" (this is hardcoded)</t>
  </si>
  <si>
    <t>You can copy that cell and paste it into one of the inventory cells and it should show up on the "Game" tab</t>
  </si>
  <si>
    <t>To clear it, just type 0 into the inventory cell and hit Enter</t>
  </si>
  <si>
    <t>Stone</t>
  </si>
  <si>
    <t>Wooden Axe</t>
  </si>
  <si>
    <t>To clear the big cell, just select it and type whatever you want</t>
  </si>
  <si>
    <t>"Expense Reports" tab:</t>
  </si>
  <si>
    <t>doesn't do anything special</t>
  </si>
  <si>
    <t>"Title Screen" tab:</t>
  </si>
  <si>
    <t>If you need to move the Enable/DisableWASD buttons, right clicking them should let you drag them around</t>
  </si>
  <si>
    <t>Sticky Pistons</t>
  </si>
  <si>
    <t>Input Craft</t>
  </si>
  <si>
    <t>Health:</t>
  </si>
  <si>
    <t>Armor:</t>
  </si>
  <si>
    <t>XP:</t>
  </si>
  <si>
    <t>Stat</t>
  </si>
  <si>
    <t>Value Over Time</t>
  </si>
  <si>
    <t>(data for the "Value Over Time" charts)</t>
  </si>
  <si>
    <t>Food:</t>
  </si>
  <si>
    <t>If you have the shovel selected, it will turn dirt, wood, and leaves blocks into sky. (Mining!)</t>
  </si>
  <si>
    <t>If you have dirt or wood selected, it will turn sky blocks into that type. (Building!)</t>
  </si>
  <si>
    <t>If you have the wooden pickaxe selected, it will also turn stone blocks into sky (Crafting! See below for how to get that)</t>
  </si>
  <si>
    <t>Keyboard Input:</t>
  </si>
  <si>
    <t>Disabled</t>
  </si>
  <si>
    <t>(These should be auto-triggered when you switch to and from the Game tab, so you shouldn’t need to click either of them unless you have to disable it to modify the sheet)</t>
  </si>
  <si>
    <t>If you have one of the error or 0 cells selected, it should be a no-op.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</si>
</sst>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26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ck">
        <color theme="0" tint="-0.34998626667073579"/>
      </left>
      <right style="thick">
        <color theme="0" tint="-0.34998626667073579"/>
      </right>
      <top style="thick">
        <color theme="0" tint="-0.34998626667073579"/>
      </top>
      <bottom style="thick">
        <color theme="0" tint="-0.34998626667073579"/>
      </bottom>
      <diagonal/>
    </border>
    <border>
      <left/>
      <right/>
      <top/>
      <bottom style="thick">
        <color theme="4"/>
      </bottom>
      <diagonal/>
    </border>
    <border>
      <left style="thick">
        <color theme="0" tint="-0.34998626667073579"/>
      </left>
      <right/>
      <top/>
      <bottom/>
      <diagonal/>
    </border>
    <border>
      <left/>
      <right style="thick">
        <color theme="0" tint="-0.34998626667073579"/>
      </right>
      <top/>
      <bottom/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theme="0" tint="-0.34998626667073579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3" fillId="0" borderId="2" applyNumberFormat="0" applyFill="0" applyAlignment="0" applyProtection="0"/>
    <xf numFmtId="0" fontId="5" fillId="0" borderId="11" applyNumberFormat="0" applyFill="0" applyAlignment="0" applyProtection="0"/>
    <xf numFmtId="0" fontId="6" fillId="0" borderId="12" applyNumberFormat="0" applyFill="0" applyAlignment="0" applyProtection="0"/>
  </cellStyleXfs>
  <cellXfs count="30">
    <xf numFmtId="0" fontId="0" fillId="0" borderId="0" xfId="0"/>
    <xf numFmtId="0" fontId="0" fillId="2" borderId="0" xfId="0" applyFill="1"/>
    <xf numFmtId="14" fontId="0" fillId="0" borderId="0" xfId="0" applyNumberFormat="1"/>
    <xf numFmtId="44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3" borderId="0" xfId="0" applyFill="1"/>
    <xf numFmtId="0" fontId="0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5" fillId="0" borderId="11" xfId="3"/>
    <xf numFmtId="0" fontId="6" fillId="0" borderId="12" xfId="4"/>
    <xf numFmtId="0" fontId="7" fillId="0" borderId="2" xfId="2" applyFont="1"/>
    <xf numFmtId="0" fontId="4" fillId="0" borderId="0" xfId="0" applyFont="1" applyAlignment="1">
      <alignment wrapText="1"/>
    </xf>
    <xf numFmtId="0" fontId="0" fillId="4" borderId="0" xfId="0" applyFill="1"/>
    <xf numFmtId="0" fontId="0" fillId="4" borderId="3" xfId="0" quotePrefix="1" applyFill="1" applyBorder="1" applyAlignment="1">
      <alignment horizontal="center" vertical="center"/>
    </xf>
    <xf numFmtId="0" fontId="0" fillId="4" borderId="4" xfId="0" quotePrefix="1" applyFill="1" applyBorder="1" applyAlignment="1">
      <alignment horizontal="center" vertical="center"/>
    </xf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0" xfId="0" applyFont="1" applyBorder="1" applyAlignment="1">
      <alignment horizontal="center"/>
    </xf>
  </cellXfs>
  <cellStyles count="5">
    <cellStyle name="Currency" xfId="1" builtinId="4"/>
    <cellStyle name="Heading 1" xfId="2" builtinId="16"/>
    <cellStyle name="Heading 2" xfId="3" builtinId="17"/>
    <cellStyle name="Heading 3" xfId="4" builtinId="18"/>
    <cellStyle name="Normal" xfId="0" builtinId="0"/>
  </cellStyles>
  <dxfs count="21"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&quot;$&quot;#,##0.00"/>
    </dxf>
    <dxf>
      <numFmt numFmtId="19" formatCode="m/d/yyyy"/>
    </dxf>
    <dxf>
      <numFmt numFmtId="0" formatCode="General"/>
    </dxf>
    <dxf>
      <font>
        <b/>
      </font>
      <alignment horizontal="general" vertical="bottom" textRotation="0" wrapText="1" indent="0" justifyLastLine="0" shrinkToFit="0" readingOrder="0"/>
    </dxf>
    <dxf>
      <font>
        <color rgb="FFC00000"/>
      </font>
    </dxf>
    <dxf>
      <font>
        <color theme="9" tint="-0.24994659260841701"/>
      </font>
    </dxf>
    <dxf>
      <font>
        <color rgb="FFB7835B"/>
      </font>
      <fill>
        <patternFill patternType="darkTrellis">
          <fgColor rgb="FFB7835B"/>
          <bgColor rgb="FF785439"/>
        </patternFill>
      </fill>
      <border>
        <top style="thin">
          <color rgb="FF92D050"/>
        </top>
        <vertical/>
        <horizontal/>
      </border>
    </dxf>
    <dxf>
      <font>
        <color rgb="FFB7835B"/>
      </font>
      <fill>
        <patternFill patternType="darkTrellis">
          <fgColor rgb="FFB7835B"/>
          <bgColor rgb="FF785439"/>
        </patternFill>
      </fill>
    </dxf>
    <dxf>
      <font>
        <color rgb="FF00B0F0"/>
      </font>
      <numFmt numFmtId="0" formatCode="General"/>
      <fill>
        <patternFill>
          <bgColor rgb="FF00B0F0"/>
        </patternFill>
      </fill>
    </dxf>
    <dxf>
      <font>
        <color rgb="FF663300"/>
      </font>
      <fill>
        <patternFill patternType="darkVertical">
          <fgColor rgb="FF785439"/>
          <bgColor rgb="FF663300"/>
        </patternFill>
      </fill>
    </dxf>
    <dxf>
      <font>
        <color theme="9" tint="-0.499984740745262"/>
      </font>
      <fill>
        <patternFill patternType="darkGrid">
          <fgColor theme="9" tint="-0.499984740745262"/>
          <bgColor rgb="FF00B050"/>
        </patternFill>
      </fill>
    </dxf>
    <dxf>
      <font>
        <color theme="0" tint="-0.34998626667073579"/>
      </font>
      <fill>
        <patternFill patternType="darkGrid">
          <fgColor theme="0" tint="-0.24994659260841701"/>
          <bgColor theme="0" tint="-0.34998626667073579"/>
        </patternFill>
      </fill>
    </dxf>
    <dxf>
      <font>
        <color rgb="FFB7835B"/>
      </font>
      <fill>
        <patternFill patternType="darkTrellis">
          <fgColor rgb="FFB7835B"/>
          <bgColor rgb="FF785439"/>
        </patternFill>
      </fill>
      <border>
        <top style="thin">
          <color rgb="FF92D050"/>
        </top>
        <vertical/>
        <horizontal/>
      </border>
    </dxf>
    <dxf>
      <font>
        <color rgb="FFB7835B"/>
      </font>
      <fill>
        <patternFill patternType="darkTrellis">
          <fgColor rgb="FFB7835B"/>
          <bgColor rgb="FF785439"/>
        </patternFill>
      </fill>
    </dxf>
    <dxf>
      <font>
        <color rgb="FF00B0F0"/>
      </font>
      <numFmt numFmtId="0" formatCode="General"/>
      <fill>
        <patternFill>
          <bgColor rgb="FF00B0F0"/>
        </patternFill>
      </fill>
    </dxf>
    <dxf>
      <font>
        <color rgb="FF663300"/>
      </font>
      <fill>
        <patternFill patternType="darkVertical">
          <fgColor rgb="FF785439"/>
          <bgColor rgb="FF663300"/>
        </patternFill>
      </fill>
    </dxf>
    <dxf>
      <font>
        <color theme="9" tint="-0.499984740745262"/>
      </font>
      <fill>
        <patternFill patternType="darkGrid">
          <fgColor theme="9" tint="-0.499984740745262"/>
          <bgColor rgb="FF00B050"/>
        </patternFill>
      </fill>
    </dxf>
    <dxf>
      <font>
        <color theme="0" tint="-0.34998626667073579"/>
      </font>
      <fill>
        <patternFill patternType="darkGrid">
          <fgColor theme="0" tint="-0.24994659260841701"/>
          <bgColor theme="0" tint="-0.34998626667073579"/>
        </patternFill>
      </fill>
    </dxf>
  </dxfs>
  <tableStyles count="0" defaultTableStyle="TableStyleMedium2" defaultPivotStyle="PivotStyleLight16"/>
  <colors>
    <mruColors>
      <color rgb="FF663300"/>
      <color rgb="FF785439"/>
      <color rgb="FFB7835B"/>
      <color rgb="FFCC6600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[Minecraft 2.xlsm]Expense Reports!PivotTable1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'Expense Reports'!$B$2</c:f>
              <c:strCache>
                <c:ptCount val="1"/>
                <c:pt idx="0">
                  <c:v>Sum of Cost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Reports'!$B$3:$B$12</c:f>
              <c:numCache>
                <c:formatCode>General</c:formatCode>
                <c:ptCount val="6"/>
                <c:pt idx="0">
                  <c:v>2020.1100000000004</c:v>
                </c:pt>
                <c:pt idx="1">
                  <c:v>2580.9900000000002</c:v>
                </c:pt>
                <c:pt idx="2">
                  <c:v>1171.7800000000002</c:v>
                </c:pt>
                <c:pt idx="3">
                  <c:v>1149.2499999999998</c:v>
                </c:pt>
                <c:pt idx="4">
                  <c:v>2753.21</c:v>
                </c:pt>
                <c:pt idx="5">
                  <c:v>3939.7900000000013</c:v>
                </c:pt>
              </c:numCache>
            </c:numRef>
          </c:val>
        </c:ser>
        <c:ser>
          <c:idx val="1"/>
          <c:order val="1"/>
          <c:tx>
            <c:strRef>
              <c:f>'Expense Reports'!$C$2</c:f>
              <c:strCache>
                <c:ptCount val="1"/>
                <c:pt idx="0">
                  <c:v>Sum of Value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Reports'!$C$3:$C$12</c:f>
              <c:numCache>
                <c:formatCode>General</c:formatCode>
                <c:ptCount val="6"/>
                <c:pt idx="0">
                  <c:v>565.25</c:v>
                </c:pt>
                <c:pt idx="1">
                  <c:v>518.30000000000007</c:v>
                </c:pt>
                <c:pt idx="2">
                  <c:v>319.70999999999998</c:v>
                </c:pt>
                <c:pt idx="3">
                  <c:v>-28.000000000000028</c:v>
                </c:pt>
                <c:pt idx="4">
                  <c:v>641.61999999999978</c:v>
                </c:pt>
                <c:pt idx="5">
                  <c:v>1212.42</c:v>
                </c:pt>
              </c:numCache>
            </c:numRef>
          </c:val>
        </c:ser>
        <c:ser>
          <c:idx val="2"/>
          <c:order val="2"/>
          <c:tx>
            <c:strRef>
              <c:f>'Expense Reports'!$D$2</c:f>
              <c:strCache>
                <c:ptCount val="1"/>
                <c:pt idx="0">
                  <c:v>Average of TTC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multiLvlStrRef>
              <c:f>'Expense Reports'!$A$3:$A$12</c:f>
              <c:multiLvlStrCache>
                <c:ptCount val="6"/>
                <c:lvl>
                  <c:pt idx="0">
                    <c:v>No</c:v>
                  </c:pt>
                  <c:pt idx="1">
                    <c:v>Yes</c:v>
                  </c:pt>
                  <c:pt idx="2">
                    <c:v>No</c:v>
                  </c:pt>
                  <c:pt idx="3">
                    <c:v>Yes</c:v>
                  </c:pt>
                  <c:pt idx="4">
                    <c:v>No</c:v>
                  </c:pt>
                  <c:pt idx="5">
                    <c:v>Yes</c:v>
                  </c:pt>
                </c:lvl>
                <c:lvl>
                  <c:pt idx="0">
                    <c:v>Crafting</c:v>
                  </c:pt>
                  <c:pt idx="2">
                    <c:v>Minecrafting</c:v>
                  </c:pt>
                  <c:pt idx="4">
                    <c:v>Mining</c:v>
                  </c:pt>
                </c:lvl>
              </c:multiLvlStrCache>
            </c:multiLvlStrRef>
          </c:cat>
          <c:val>
            <c:numRef>
              <c:f>'Expense Reports'!$D$3:$D$12</c:f>
              <c:numCache>
                <c:formatCode>General</c:formatCode>
                <c:ptCount val="6"/>
                <c:pt idx="0">
                  <c:v>11.846153846153847</c:v>
                </c:pt>
                <c:pt idx="1">
                  <c:v>10.357142857142858</c:v>
                </c:pt>
                <c:pt idx="2">
                  <c:v>9.5333333333333332</c:v>
                </c:pt>
                <c:pt idx="3">
                  <c:v>9.8461538461538467</c:v>
                </c:pt>
                <c:pt idx="4">
                  <c:v>9.2972972972972965</c:v>
                </c:pt>
                <c:pt idx="5">
                  <c:v>11.448979591836734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Workbench Efficiency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Workbench!$E$7:$K$7</c:f>
              <c:numCache>
                <c:formatCode>General</c:formatCode>
                <c:ptCount val="7"/>
                <c:pt idx="0">
                  <c:v>22</c:v>
                </c:pt>
                <c:pt idx="1">
                  <c:v>30</c:v>
                </c:pt>
                <c:pt idx="2">
                  <c:v>46</c:v>
                </c:pt>
                <c:pt idx="3">
                  <c:v>24</c:v>
                </c:pt>
                <c:pt idx="4">
                  <c:v>63</c:v>
                </c:pt>
                <c:pt idx="5">
                  <c:v>38</c:v>
                </c:pt>
                <c:pt idx="6">
                  <c:v>42</c:v>
                </c:pt>
              </c:numCache>
            </c:numRef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Workbench!$E$8:$K$8</c:f>
              <c:numCache>
                <c:formatCode>General</c:formatCode>
                <c:ptCount val="7"/>
                <c:pt idx="0">
                  <c:v>39</c:v>
                </c:pt>
                <c:pt idx="1">
                  <c:v>19</c:v>
                </c:pt>
                <c:pt idx="2">
                  <c:v>39</c:v>
                </c:pt>
                <c:pt idx="3">
                  <c:v>45</c:v>
                </c:pt>
                <c:pt idx="4">
                  <c:v>31</c:v>
                </c:pt>
                <c:pt idx="5">
                  <c:v>28</c:v>
                </c:pt>
                <c:pt idx="6">
                  <c:v>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7594000"/>
        <c:axId val="297591648"/>
      </c:lineChart>
      <c:catAx>
        <c:axId val="29759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91648"/>
        <c:crosses val="autoZero"/>
        <c:auto val="1"/>
        <c:lblAlgn val="ctr"/>
        <c:lblOffset val="100"/>
        <c:noMultiLvlLbl val="0"/>
      </c:catAx>
      <c:valAx>
        <c:axId val="297591648"/>
        <c:scaling>
          <c:orientation val="minMax"/>
          <c:max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594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140544</xdr:colOff>
      <xdr:row>9</xdr:row>
      <xdr:rowOff>180694</xdr:rowOff>
    </xdr:from>
    <xdr:to>
      <xdr:col>60</xdr:col>
      <xdr:colOff>153742</xdr:colOff>
      <xdr:row>11</xdr:row>
      <xdr:rowOff>152118</xdr:rowOff>
    </xdr:to>
    <xdr:sp macro="" textlink="">
      <xdr:nvSpPr>
        <xdr:cNvPr id="2" name="TextBox 1"/>
        <xdr:cNvSpPr txBox="1"/>
      </xdr:nvSpPr>
      <xdr:spPr>
        <a:xfrm rot="20301836">
          <a:off x="8332044" y="1895194"/>
          <a:ext cx="3251698" cy="3524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chemeClr val="accent4">
                  <a:lumMod val="60000"/>
                  <a:lumOff val="40000"/>
                </a:schemeClr>
              </a:solidFill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a:rPr>
            <a:t>Now with more pivot tables!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11</xdr:row>
          <xdr:rowOff>38100</xdr:rowOff>
        </xdr:from>
        <xdr:to>
          <xdr:col>20</xdr:col>
          <xdr:colOff>723900</xdr:colOff>
          <xdr:row>11</xdr:row>
          <xdr:rowOff>400050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EnableWASD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11</xdr:row>
          <xdr:rowOff>466725</xdr:rowOff>
        </xdr:from>
        <xdr:to>
          <xdr:col>20</xdr:col>
          <xdr:colOff>723900</xdr:colOff>
          <xdr:row>12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DisableWASD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82552</xdr:colOff>
      <xdr:row>7</xdr:row>
      <xdr:rowOff>28576</xdr:rowOff>
    </xdr:from>
    <xdr:to>
      <xdr:col>7</xdr:col>
      <xdr:colOff>496480</xdr:colOff>
      <xdr:row>8</xdr:row>
      <xdr:rowOff>447676</xdr:rowOff>
    </xdr:to>
    <xdr:pic>
      <xdr:nvPicPr>
        <xdr:cNvPr id="5" name="SteveImag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563" b="98047" l="4800" r="98400">
                      <a14:foregroundMark x1="28000" y1="13672" x2="28000" y2="13672"/>
                      <a14:foregroundMark x1="30400" y1="1953" x2="30400" y2="1953"/>
                      <a14:foregroundMark x1="67200" y1="14844" x2="67200" y2="14844"/>
                      <a14:foregroundMark x1="53600" y1="13672" x2="53600" y2="13672"/>
                      <a14:foregroundMark x1="18400" y1="45703" x2="18400" y2="45703"/>
                      <a14:foregroundMark x1="17600" y1="57422" x2="14400" y2="48047"/>
                      <a14:foregroundMark x1="84000" y1="56641" x2="88800" y2="40625"/>
                      <a14:foregroundMark x1="72800" y1="61719" x2="98400" y2="64453"/>
                      <a14:foregroundMark x1="76000" y1="88672" x2="74400" y2="98047"/>
                      <a14:foregroundMark x1="72800" y1="96875" x2="29600" y2="93750"/>
                      <a14:foregroundMark x1="72000" y1="20313" x2="72800" y2="10156"/>
                      <a14:foregroundMark x1="66400" y1="8984" x2="23200" y2="14453"/>
                      <a14:foregroundMark x1="26400" y1="21875" x2="32800" y2="29297"/>
                      <a14:foregroundMark x1="65600" y1="25000" x2="65600" y2="25000"/>
                      <a14:foregroundMark x1="65600" y1="25000" x2="65600" y2="25000"/>
                      <a14:foregroundMark x1="65600" y1="17969" x2="65600" y2="17969"/>
                      <a14:foregroundMark x1="31200" y1="18359" x2="28800" y2="18359"/>
                      <a14:foregroundMark x1="26400" y1="17578" x2="26400" y2="17578"/>
                      <a14:backgroundMark x1="82400" y1="71875" x2="82400" y2="71875"/>
                      <a14:backgroundMark x1="15200" y1="71094" x2="15200" y2="7109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2052" y="3105151"/>
          <a:ext cx="413928" cy="895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119062</xdr:rowOff>
    </xdr:from>
    <xdr:to>
      <xdr:col>6</xdr:col>
      <xdr:colOff>180975</xdr:colOff>
      <xdr:row>29</xdr:row>
      <xdr:rowOff>4762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171450</xdr:colOff>
      <xdr:row>2</xdr:row>
      <xdr:rowOff>242887</xdr:rowOff>
    </xdr:from>
    <xdr:to>
      <xdr:col>26</xdr:col>
      <xdr:colOff>542925</xdr:colOff>
      <xdr:row>10</xdr:row>
      <xdr:rowOff>428625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homas Constantine" refreshedDate="41907.531037499997" createdVersion="5" refreshedVersion="5" minRefreshableVersion="3" recordCount="168">
  <cacheSource type="worksheet">
    <worksheetSource name="Table1"/>
  </cacheSource>
  <cacheFields count="8">
    <cacheField name="Asset" numFmtId="0">
      <sharedItems/>
    </cacheField>
    <cacheField name="Asset Tag" numFmtId="0">
      <sharedItems/>
    </cacheField>
    <cacheField name="Date" numFmtId="14">
      <sharedItems containsSemiMixedTypes="0" containsNonDate="0" containsDate="1" containsString="0" minDate="2013-11-22T00:00:00" maxDate="2014-07-19T00:00:00"/>
    </cacheField>
    <cacheField name="Cost" numFmtId="44">
      <sharedItems containsSemiMixedTypes="0" containsString="0" containsNumber="1" minValue="11.23" maxValue="149.5"/>
    </cacheField>
    <cacheField name="Value" numFmtId="164">
      <sharedItems containsSemiMixedTypes="0" containsString="0" containsNumber="1" minValue="-49.55" maxValue="78.5"/>
    </cacheField>
    <cacheField name="Expense" numFmtId="0">
      <sharedItems count="2">
        <s v="Yes"/>
        <s v="No"/>
      </sharedItems>
    </cacheField>
    <cacheField name="TTC" numFmtId="0">
      <sharedItems containsSemiMixedTypes="0" containsString="0" containsNumber="1" containsInteger="1" minValue="1" maxValue="20"/>
    </cacheField>
    <cacheField name="Category" numFmtId="0">
      <sharedItems count="3">
        <s v="Crafting"/>
        <s v="Mining"/>
        <s v="Minecrafting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8">
  <r>
    <s v="Ladder"/>
    <s v="51268-60AD"/>
    <d v="2013-11-29T00:00:00"/>
    <n v="130.91999999999999"/>
    <n v="-20.71"/>
    <x v="0"/>
    <n v="13"/>
    <x v="0"/>
  </r>
  <r>
    <s v="Rail"/>
    <s v="83863-62AI"/>
    <d v="2014-03-29T00:00:00"/>
    <n v="30.17"/>
    <n v="66.86"/>
    <x v="0"/>
    <n v="17"/>
    <x v="1"/>
  </r>
  <r>
    <s v="Cobblestone Stairs"/>
    <s v="35877-78OB"/>
    <d v="2014-04-16T00:00:00"/>
    <n v="143.38"/>
    <n v="43.69"/>
    <x v="0"/>
    <n v="2"/>
    <x v="0"/>
  </r>
  <r>
    <s v="Wall-mounted Sign Block"/>
    <s v="66222-48AL"/>
    <d v="2014-07-03T00:00:00"/>
    <n v="78.86"/>
    <n v="9.5500000000000007"/>
    <x v="0"/>
    <n v="11"/>
    <x v="1"/>
  </r>
  <r>
    <s v="Lever"/>
    <s v="69971-19EV"/>
    <d v="2013-11-22T00:00:00"/>
    <n v="83.15"/>
    <n v="13.64"/>
    <x v="1"/>
    <n v="10"/>
    <x v="0"/>
  </r>
  <r>
    <s v="Stone Pressure Plate"/>
    <s v="19736-18TO"/>
    <d v="2014-03-21T00:00:00"/>
    <n v="43.76"/>
    <n v="46.51"/>
    <x v="0"/>
    <n v="1"/>
    <x v="0"/>
  </r>
  <r>
    <s v="Iron Door Block"/>
    <s v="83755-91RO"/>
    <d v="2014-03-13T00:00:00"/>
    <n v="58.92"/>
    <n v="53.93"/>
    <x v="1"/>
    <n v="14"/>
    <x v="0"/>
  </r>
  <r>
    <s v="Wooden Pressure Plate"/>
    <s v="16800-96OO"/>
    <d v="2014-02-22T00:00:00"/>
    <n v="145.37"/>
    <n v="-33.11"/>
    <x v="0"/>
    <n v="20"/>
    <x v="0"/>
  </r>
  <r>
    <s v="Redstone Ore"/>
    <s v="79914-88ED"/>
    <d v="2014-02-19T00:00:00"/>
    <n v="134.41999999999999"/>
    <n v="63.67"/>
    <x v="1"/>
    <n v="1"/>
    <x v="0"/>
  </r>
  <r>
    <s v="Glowing Redstone Ore"/>
    <s v="65129-81LO"/>
    <d v="2014-03-26T00:00:00"/>
    <n v="93.37"/>
    <n v="54.33"/>
    <x v="1"/>
    <n v="8"/>
    <x v="0"/>
  </r>
  <r>
    <s v="Redstone Torch (off)"/>
    <s v="62201-67ED"/>
    <d v="2014-03-21T00:00:00"/>
    <n v="135.38999999999999"/>
    <n v="65.540000000000006"/>
    <x v="1"/>
    <n v="19"/>
    <x v="0"/>
  </r>
  <r>
    <s v="Redstone Torch (on)"/>
    <s v="90215-17ED"/>
    <d v="2014-03-30T00:00:00"/>
    <n v="145.30000000000001"/>
    <n v="-16.86"/>
    <x v="0"/>
    <n v="4"/>
    <x v="1"/>
  </r>
  <r>
    <s v="Stone Button"/>
    <s v="86225-95TO"/>
    <d v="2013-12-29T00:00:00"/>
    <n v="52.44"/>
    <n v="30.42"/>
    <x v="1"/>
    <n v="14"/>
    <x v="1"/>
  </r>
  <r>
    <s v="Snow"/>
    <s v="33857-78NO"/>
    <d v="2014-01-16T00:00:00"/>
    <n v="70.290000000000006"/>
    <n v="10.52"/>
    <x v="0"/>
    <n v="11"/>
    <x v="0"/>
  </r>
  <r>
    <s v="Ice"/>
    <s v="24837-74CE"/>
    <d v="2014-01-10T00:00:00"/>
    <n v="11.23"/>
    <n v="65.069999999999993"/>
    <x v="1"/>
    <n v="9"/>
    <x v="1"/>
  </r>
  <r>
    <s v="Snow Block"/>
    <s v="40329-50NO"/>
    <d v="2014-03-08T00:00:00"/>
    <n v="132.54"/>
    <n v="12.27"/>
    <x v="0"/>
    <n v="4"/>
    <x v="2"/>
  </r>
  <r>
    <s v="Cactus"/>
    <s v="15243-12AC"/>
    <d v="2014-01-29T00:00:00"/>
    <n v="144.63999999999999"/>
    <n v="35.700000000000003"/>
    <x v="1"/>
    <n v="16"/>
    <x v="1"/>
  </r>
  <r>
    <s v="Clay"/>
    <s v="59681-70LA"/>
    <d v="2014-04-20T00:00:00"/>
    <n v="88.06"/>
    <n v="-49.55"/>
    <x v="1"/>
    <n v="3"/>
    <x v="2"/>
  </r>
  <r>
    <s v="Sugar Canes"/>
    <s v="67799-46UG"/>
    <d v="2013-12-03T00:00:00"/>
    <n v="130.12"/>
    <n v="2.2200000000000002"/>
    <x v="1"/>
    <n v="10"/>
    <x v="0"/>
  </r>
  <r>
    <s v="Jukebox"/>
    <s v="71433-55UK"/>
    <d v="2014-01-04T00:00:00"/>
    <n v="45.72"/>
    <n v="62.45"/>
    <x v="1"/>
    <n v="3"/>
    <x v="2"/>
  </r>
  <r>
    <s v="Oak Fence"/>
    <s v="16381-54AK"/>
    <d v="2014-05-14T00:00:00"/>
    <n v="49.53"/>
    <n v="70.349999999999994"/>
    <x v="0"/>
    <n v="18"/>
    <x v="0"/>
  </r>
  <r>
    <s v="Pumpkin"/>
    <s v="18350-84UM"/>
    <d v="2014-04-22T00:00:00"/>
    <n v="19.39"/>
    <n v="24.39"/>
    <x v="1"/>
    <n v="2"/>
    <x v="1"/>
  </r>
  <r>
    <s v="Netherrack"/>
    <s v="30045-79ET"/>
    <d v="2013-12-16T00:00:00"/>
    <n v="11.25"/>
    <n v="-42.34"/>
    <x v="1"/>
    <n v="20"/>
    <x v="0"/>
  </r>
  <r>
    <s v="Soul Sand"/>
    <s v="63611-79OU"/>
    <d v="2014-05-13T00:00:00"/>
    <n v="24.48"/>
    <n v="61.07"/>
    <x v="0"/>
    <n v="12"/>
    <x v="0"/>
  </r>
  <r>
    <s v="Glowstone"/>
    <s v="76548-62LO"/>
    <d v="2013-12-21T00:00:00"/>
    <n v="57.09"/>
    <n v="20.100000000000001"/>
    <x v="1"/>
    <n v="9"/>
    <x v="2"/>
  </r>
  <r>
    <s v="Nether Portal"/>
    <s v="82134-40ET"/>
    <d v="2014-04-20T00:00:00"/>
    <n v="130.63"/>
    <n v="66.900000000000006"/>
    <x v="0"/>
    <n v="7"/>
    <x v="0"/>
  </r>
  <r>
    <s v="Jack o'Lantern"/>
    <s v="52343-64AC"/>
    <d v="2014-01-25T00:00:00"/>
    <n v="103.4"/>
    <n v="-33.58"/>
    <x v="0"/>
    <n v="6"/>
    <x v="1"/>
  </r>
  <r>
    <s v="Cake Block"/>
    <s v="74758-78AK"/>
    <d v="2014-06-11T00:00:00"/>
    <n v="21.62"/>
    <n v="-33.869999999999997"/>
    <x v="1"/>
    <n v="15"/>
    <x v="0"/>
  </r>
  <r>
    <s v="Redstone Repeater Block (off)"/>
    <s v="12275-40ED"/>
    <d v="2014-07-02T00:00:00"/>
    <n v="31.65"/>
    <n v="62.21"/>
    <x v="1"/>
    <n v="2"/>
    <x v="1"/>
  </r>
  <r>
    <s v="Redstone Repeater Block (on)"/>
    <s v="69871-62ED"/>
    <d v="2014-07-11T00:00:00"/>
    <n v="25.43"/>
    <n v="42.1"/>
    <x v="0"/>
    <n v="18"/>
    <x v="0"/>
  </r>
  <r>
    <s v="White Stained Glass"/>
    <s v="67886-77HI"/>
    <d v="2013-12-10T00:00:00"/>
    <n v="117.7"/>
    <n v="41.83"/>
    <x v="0"/>
    <n v="17"/>
    <x v="1"/>
  </r>
  <r>
    <s v="Orange Stained Glass"/>
    <s v="59704-36RA"/>
    <d v="2014-05-08T00:00:00"/>
    <n v="146.83000000000001"/>
    <n v="52.81"/>
    <x v="0"/>
    <n v="7"/>
    <x v="1"/>
  </r>
  <r>
    <s v="Magenta Stained Glass"/>
    <s v="74291-11AG"/>
    <d v="2013-12-08T00:00:00"/>
    <n v="121.17"/>
    <n v="41.08"/>
    <x v="0"/>
    <n v="8"/>
    <x v="1"/>
  </r>
  <r>
    <s v="Light Blue Stained Glass"/>
    <s v="77108-67IG"/>
    <d v="2014-03-25T00:00:00"/>
    <n v="29.34"/>
    <n v="67.84"/>
    <x v="0"/>
    <n v="18"/>
    <x v="1"/>
  </r>
  <r>
    <s v="Yellow Stained Glass"/>
    <s v="66431-91EL"/>
    <d v="2014-04-03T00:00:00"/>
    <n v="143.96"/>
    <n v="-2.11"/>
    <x v="1"/>
    <n v="11"/>
    <x v="0"/>
  </r>
  <r>
    <s v="Lime Stained Glass"/>
    <s v="72913-90IM"/>
    <d v="2014-02-21T00:00:00"/>
    <n v="143.12"/>
    <n v="27.86"/>
    <x v="1"/>
    <n v="2"/>
    <x v="1"/>
  </r>
  <r>
    <s v="Pink Stained Glass"/>
    <s v="66298-15IN"/>
    <d v="2014-06-12T00:00:00"/>
    <n v="93.88"/>
    <n v="27.32"/>
    <x v="1"/>
    <n v="14"/>
    <x v="1"/>
  </r>
  <r>
    <s v="Gray Stained Glass"/>
    <s v="77598-19RA"/>
    <d v="2014-04-16T00:00:00"/>
    <n v="126.27"/>
    <n v="2.75"/>
    <x v="1"/>
    <n v="12"/>
    <x v="1"/>
  </r>
  <r>
    <s v="Light Gray Stained Glass"/>
    <s v="57746-68IG"/>
    <d v="2014-05-15T00:00:00"/>
    <n v="81.13"/>
    <n v="33.72"/>
    <x v="0"/>
    <n v="15"/>
    <x v="0"/>
  </r>
  <r>
    <s v="Cyan Stained Glass"/>
    <s v="40242-60YA"/>
    <d v="2013-12-17T00:00:00"/>
    <n v="102.31"/>
    <n v="-20.399999999999999"/>
    <x v="0"/>
    <n v="1"/>
    <x v="2"/>
  </r>
  <r>
    <s v="Purple Stained Glass"/>
    <s v="56753-25UR"/>
    <d v="2014-02-03T00:00:00"/>
    <n v="92.9"/>
    <n v="-31.92"/>
    <x v="1"/>
    <n v="10"/>
    <x v="1"/>
  </r>
  <r>
    <s v="Blue Stained Glass"/>
    <s v="47776-25LU"/>
    <d v="2013-12-27T00:00:00"/>
    <n v="50.36"/>
    <n v="17.07"/>
    <x v="0"/>
    <n v="9"/>
    <x v="1"/>
  </r>
  <r>
    <s v="Brown Stained Glass"/>
    <s v="70766-55RO"/>
    <d v="2014-06-16T00:00:00"/>
    <n v="147.15"/>
    <n v="-38.32"/>
    <x v="1"/>
    <n v="5"/>
    <x v="1"/>
  </r>
  <r>
    <s v="Green Stained Glass"/>
    <s v="52251-88RE"/>
    <d v="2013-11-23T00:00:00"/>
    <n v="73.58"/>
    <n v="45.03"/>
    <x v="1"/>
    <n v="5"/>
    <x v="0"/>
  </r>
  <r>
    <s v="Red Stained Glass"/>
    <s v="57349-88ED"/>
    <d v="2014-06-06T00:00:00"/>
    <n v="58.79"/>
    <n v="78.5"/>
    <x v="0"/>
    <n v="15"/>
    <x v="1"/>
  </r>
  <r>
    <s v="Black Stained Glass"/>
    <s v="78119-58LA"/>
    <d v="2014-06-17T00:00:00"/>
    <n v="94.51"/>
    <n v="-2.9"/>
    <x v="0"/>
    <n v="19"/>
    <x v="1"/>
  </r>
  <r>
    <s v="Wooden Trapdoor"/>
    <s v="32489-89OO"/>
    <d v="2014-03-10T00:00:00"/>
    <n v="44.74"/>
    <n v="60.22"/>
    <x v="0"/>
    <n v="19"/>
    <x v="0"/>
  </r>
  <r>
    <s v="Stone Monster Egg"/>
    <s v="82493-32TO"/>
    <d v="2014-02-24T00:00:00"/>
    <n v="113.09"/>
    <n v="40.07"/>
    <x v="0"/>
    <n v="9"/>
    <x v="0"/>
  </r>
  <r>
    <s v="Cobblestone Monster Egg"/>
    <s v="12977-65OB"/>
    <d v="2014-07-07T00:00:00"/>
    <n v="54.61"/>
    <n v="-25.82"/>
    <x v="0"/>
    <n v="20"/>
    <x v="1"/>
  </r>
  <r>
    <s v="Stone Brick Monster Egg"/>
    <s v="31074-57TO"/>
    <d v="2014-01-22T00:00:00"/>
    <n v="149.19999999999999"/>
    <n v="-35.14"/>
    <x v="0"/>
    <n v="9"/>
    <x v="2"/>
  </r>
  <r>
    <s v="Mossy Stone Brick Monster Egg"/>
    <s v="89555-82OS"/>
    <d v="2013-12-04T00:00:00"/>
    <n v="112.45"/>
    <n v="57.62"/>
    <x v="0"/>
    <n v="4"/>
    <x v="0"/>
  </r>
  <r>
    <s v="Cracked Stone Brick Monster Egg"/>
    <s v="82491-59RA"/>
    <d v="2014-04-05T00:00:00"/>
    <n v="30.33"/>
    <n v="77.459999999999994"/>
    <x v="0"/>
    <n v="1"/>
    <x v="1"/>
  </r>
  <r>
    <s v="Chiseled Stone Brick Monster Egg"/>
    <s v="90617-14HI"/>
    <d v="2014-03-21T00:00:00"/>
    <n v="11.7"/>
    <n v="-18.239999999999998"/>
    <x v="1"/>
    <n v="17"/>
    <x v="1"/>
  </r>
  <r>
    <s v="Stone Bricks"/>
    <s v="35880-91TO"/>
    <d v="2014-02-12T00:00:00"/>
    <n v="63.98"/>
    <n v="55.58"/>
    <x v="0"/>
    <n v="13"/>
    <x v="1"/>
  </r>
  <r>
    <s v="Mossy Stone Bricks"/>
    <s v="72059-26OS"/>
    <d v="2014-06-17T00:00:00"/>
    <n v="84.01"/>
    <n v="-3.86"/>
    <x v="0"/>
    <n v="16"/>
    <x v="0"/>
  </r>
  <r>
    <s v="Cracked Stone Bricks"/>
    <s v="25945-32RA"/>
    <d v="2014-03-20T00:00:00"/>
    <n v="97.94"/>
    <n v="-31.89"/>
    <x v="0"/>
    <n v="11"/>
    <x v="0"/>
  </r>
  <r>
    <s v="Chiseled Stone Bricks"/>
    <s v="47781-93HI"/>
    <d v="2014-02-05T00:00:00"/>
    <n v="30.84"/>
    <n v="39.39"/>
    <x v="0"/>
    <n v="4"/>
    <x v="1"/>
  </r>
  <r>
    <s v="Red Mushroom Cap"/>
    <s v="35137-71ED"/>
    <d v="2014-05-14T00:00:00"/>
    <n v="128.15"/>
    <n v="7.18"/>
    <x v="0"/>
    <n v="13"/>
    <x v="0"/>
  </r>
  <r>
    <s v="Brown Mushroom Cap"/>
    <s v="65022-26RO"/>
    <d v="2014-05-30T00:00:00"/>
    <n v="76.31"/>
    <n v="66.27"/>
    <x v="1"/>
    <n v="20"/>
    <x v="1"/>
  </r>
  <r>
    <s v="Iron Bars"/>
    <s v="59792-98RO"/>
    <d v="2014-06-19T00:00:00"/>
    <n v="108.28"/>
    <n v="-45.88"/>
    <x v="1"/>
    <n v="12"/>
    <x v="1"/>
  </r>
  <r>
    <s v="Glass Pane"/>
    <s v="12403-30LA"/>
    <d v="2014-04-01T00:00:00"/>
    <n v="28.51"/>
    <n v="69.849999999999994"/>
    <x v="0"/>
    <n v="17"/>
    <x v="0"/>
  </r>
  <r>
    <s v="Melon Block"/>
    <s v="88824-17EL"/>
    <d v="2014-02-28T00:00:00"/>
    <n v="25.19"/>
    <n v="64.23"/>
    <x v="1"/>
    <n v="4"/>
    <x v="0"/>
  </r>
  <r>
    <s v="Pumpkin Stem"/>
    <s v="60495-11UM"/>
    <d v="2014-02-17T00:00:00"/>
    <n v="31.63"/>
    <n v="62.21"/>
    <x v="1"/>
    <n v="11"/>
    <x v="1"/>
  </r>
  <r>
    <s v="Melon Stem"/>
    <s v="28340-31EL"/>
    <d v="2014-01-02T00:00:00"/>
    <n v="35.96"/>
    <n v="73.12"/>
    <x v="0"/>
    <n v="1"/>
    <x v="1"/>
  </r>
  <r>
    <s v="Vines"/>
    <s v="92702-37IN"/>
    <d v="2013-12-21T00:00:00"/>
    <n v="96.79"/>
    <n v="65.099999999999994"/>
    <x v="1"/>
    <n v="2"/>
    <x v="1"/>
  </r>
  <r>
    <s v="Oak Fence Gate"/>
    <s v="85975-56AK"/>
    <d v="2014-04-26T00:00:00"/>
    <n v="37.43"/>
    <n v="69.89"/>
    <x v="0"/>
    <n v="20"/>
    <x v="1"/>
  </r>
  <r>
    <s v="Brick Stairs"/>
    <s v="89024-60RI"/>
    <d v="2014-06-25T00:00:00"/>
    <n v="117.84"/>
    <n v="24.32"/>
    <x v="0"/>
    <n v="1"/>
    <x v="1"/>
  </r>
  <r>
    <s v="Stone Brick Stairs"/>
    <s v="96686-21TO"/>
    <d v="2014-07-11T00:00:00"/>
    <n v="125.53"/>
    <n v="-19.52"/>
    <x v="0"/>
    <n v="7"/>
    <x v="0"/>
  </r>
  <r>
    <s v="Mycelium"/>
    <s v="33962-10YC"/>
    <d v="2014-05-26T00:00:00"/>
    <n v="12.44"/>
    <n v="-25.06"/>
    <x v="0"/>
    <n v="17"/>
    <x v="2"/>
  </r>
  <r>
    <s v="Lily Pad"/>
    <s v="70733-61IL"/>
    <d v="2014-04-10T00:00:00"/>
    <n v="60.83"/>
    <n v="9.2799999999999994"/>
    <x v="1"/>
    <n v="20"/>
    <x v="0"/>
  </r>
  <r>
    <s v="Nether Brick"/>
    <s v="12363-80ET"/>
    <d v="2014-02-01T00:00:00"/>
    <n v="22.56"/>
    <n v="11.99"/>
    <x v="1"/>
    <n v="8"/>
    <x v="2"/>
  </r>
  <r>
    <s v="Nether Brick Fence"/>
    <s v="95574-65ET"/>
    <d v="2014-02-02T00:00:00"/>
    <n v="12.42"/>
    <n v="-25.6"/>
    <x v="1"/>
    <n v="2"/>
    <x v="1"/>
  </r>
  <r>
    <s v="Nether Brick Stairs"/>
    <s v="92937-83ET"/>
    <d v="2014-04-04T00:00:00"/>
    <n v="96.19"/>
    <n v="75.459999999999994"/>
    <x v="0"/>
    <n v="10"/>
    <x v="1"/>
  </r>
  <r>
    <s v="Nether Wart"/>
    <s v="17521-38ET"/>
    <d v="2014-03-30T00:00:00"/>
    <n v="69.44"/>
    <n v="61.7"/>
    <x v="0"/>
    <n v="17"/>
    <x v="1"/>
  </r>
  <r>
    <s v="Enchantment Table"/>
    <s v="68657-52NC"/>
    <d v="2014-02-22T00:00:00"/>
    <n v="98.48"/>
    <n v="26.89"/>
    <x v="0"/>
    <n v="17"/>
    <x v="0"/>
  </r>
  <r>
    <s v="Brewing Stand"/>
    <s v="37407-69RE"/>
    <d v="2014-01-24T00:00:00"/>
    <n v="17.43"/>
    <n v="21.7"/>
    <x v="1"/>
    <n v="10"/>
    <x v="1"/>
  </r>
  <r>
    <s v="Cauldron"/>
    <s v="37705-31AU"/>
    <d v="2014-07-09T00:00:00"/>
    <n v="65.33"/>
    <n v="19.59"/>
    <x v="0"/>
    <n v="13"/>
    <x v="1"/>
  </r>
  <r>
    <s v="End Portal"/>
    <s v="24798-31ND"/>
    <d v="2014-03-18T00:00:00"/>
    <n v="139.6"/>
    <n v="65.58"/>
    <x v="1"/>
    <n v="8"/>
    <x v="0"/>
  </r>
  <r>
    <s v="End Portal Frame"/>
    <s v="44321-75ND"/>
    <d v="2014-01-02T00:00:00"/>
    <n v="36.85"/>
    <n v="-24.14"/>
    <x v="1"/>
    <n v="8"/>
    <x v="1"/>
  </r>
  <r>
    <s v="End Stone"/>
    <s v="47584-57ND"/>
    <d v="2014-05-25T00:00:00"/>
    <n v="70.03"/>
    <n v="16.600000000000001"/>
    <x v="1"/>
    <n v="11"/>
    <x v="0"/>
  </r>
  <r>
    <s v="Dragon Egg"/>
    <s v="13051-93RA"/>
    <d v="2014-03-18T00:00:00"/>
    <n v="103.11"/>
    <n v="74.900000000000006"/>
    <x v="0"/>
    <n v="2"/>
    <x v="0"/>
  </r>
  <r>
    <s v="Redstone Lamp (inactive)"/>
    <s v="25350-54ED"/>
    <d v="2014-05-01T00:00:00"/>
    <n v="56.32"/>
    <n v="32.21"/>
    <x v="1"/>
    <n v="18"/>
    <x v="0"/>
  </r>
  <r>
    <s v="Redstone Lamp (active)"/>
    <s v="99901-68ED"/>
    <d v="2014-06-13T00:00:00"/>
    <n v="132.65"/>
    <n v="50.48"/>
    <x v="0"/>
    <n v="17"/>
    <x v="1"/>
  </r>
  <r>
    <s v="Double Oak Wood Slab"/>
    <s v="12257-17OU"/>
    <d v="2013-12-24T00:00:00"/>
    <n v="84.83"/>
    <n v="74.510000000000005"/>
    <x v="1"/>
    <n v="6"/>
    <x v="1"/>
  </r>
  <r>
    <s v="Double Spruce Wood Slab"/>
    <s v="32619-90OU"/>
    <d v="2014-02-02T00:00:00"/>
    <n v="90.65"/>
    <n v="-8.51"/>
    <x v="1"/>
    <n v="4"/>
    <x v="1"/>
  </r>
  <r>
    <s v="Double Birch Wood Slab"/>
    <s v="48974-32OU"/>
    <d v="2014-04-18T00:00:00"/>
    <n v="95.26"/>
    <n v="64.790000000000006"/>
    <x v="1"/>
    <n v="11"/>
    <x v="2"/>
  </r>
  <r>
    <s v="Double Jungle Wood Slab"/>
    <s v="60562-74OU"/>
    <d v="2013-12-24T00:00:00"/>
    <n v="81.260000000000005"/>
    <n v="29.12"/>
    <x v="0"/>
    <n v="10"/>
    <x v="0"/>
  </r>
  <r>
    <s v="Double Acacia Wood Slab"/>
    <s v="73490-19OU"/>
    <d v="2014-05-21T00:00:00"/>
    <n v="47.24"/>
    <n v="-45.98"/>
    <x v="1"/>
    <n v="2"/>
    <x v="1"/>
  </r>
  <r>
    <s v="Double Dark Oak Wood Slab"/>
    <s v="54447-45OU"/>
    <d v="2014-06-22T00:00:00"/>
    <n v="105.35"/>
    <n v="39.21"/>
    <x v="1"/>
    <n v="6"/>
    <x v="1"/>
  </r>
  <r>
    <s v="Oak Wood Slab"/>
    <s v="24550-73AK"/>
    <d v="2014-06-28T00:00:00"/>
    <n v="146.44999999999999"/>
    <n v="50.26"/>
    <x v="1"/>
    <n v="11"/>
    <x v="0"/>
  </r>
  <r>
    <s v="Spruce Wood Slab"/>
    <s v="72186-35PR"/>
    <d v="2013-12-09T00:00:00"/>
    <n v="108.08"/>
    <n v="-0.25"/>
    <x v="0"/>
    <n v="4"/>
    <x v="0"/>
  </r>
  <r>
    <s v="Birch Wood Slab"/>
    <s v="11204-87IR"/>
    <d v="2014-03-06T00:00:00"/>
    <n v="91.02"/>
    <n v="28.18"/>
    <x v="0"/>
    <n v="6"/>
    <x v="1"/>
  </r>
  <r>
    <s v="Jungle Wood Slab"/>
    <s v="75900-24UN"/>
    <d v="2014-01-23T00:00:00"/>
    <n v="136.88999999999999"/>
    <n v="-26.03"/>
    <x v="0"/>
    <n v="7"/>
    <x v="2"/>
  </r>
  <r>
    <s v="Acacia Wood Slab"/>
    <s v="80060-69CA"/>
    <d v="2014-05-01T00:00:00"/>
    <n v="133.56"/>
    <n v="4.6500000000000004"/>
    <x v="0"/>
    <n v="14"/>
    <x v="0"/>
  </r>
  <r>
    <s v="Dark Oak Wood Slab"/>
    <s v="78904-23AR"/>
    <d v="2014-05-17T00:00:00"/>
    <n v="138.29"/>
    <n v="-42.17"/>
    <x v="0"/>
    <n v="6"/>
    <x v="2"/>
  </r>
  <r>
    <s v="Cocoa"/>
    <s v="51534-76OC"/>
    <d v="2014-04-29T00:00:00"/>
    <n v="117.8"/>
    <n v="-48.31"/>
    <x v="0"/>
    <n v="5"/>
    <x v="1"/>
  </r>
  <r>
    <s v="Sandstone Stairs"/>
    <s v="22987-94AN"/>
    <d v="2013-12-03T00:00:00"/>
    <n v="22.06"/>
    <n v="-27.12"/>
    <x v="0"/>
    <n v="10"/>
    <x v="2"/>
  </r>
  <r>
    <s v="Emerald Ore"/>
    <s v="83034-90ME"/>
    <d v="2014-01-28T00:00:00"/>
    <n v="85.24"/>
    <n v="-24.74"/>
    <x v="0"/>
    <n v="6"/>
    <x v="0"/>
  </r>
  <r>
    <s v="Ender Chest"/>
    <s v="41782-16ND"/>
    <d v="2014-04-24T00:00:00"/>
    <n v="78.23"/>
    <n v="8.07"/>
    <x v="0"/>
    <n v="5"/>
    <x v="1"/>
  </r>
  <r>
    <s v="Tripwire Hook"/>
    <s v="16556-82RI"/>
    <d v="2014-05-10T00:00:00"/>
    <n v="14.03"/>
    <n v="-12.43"/>
    <x v="1"/>
    <n v="20"/>
    <x v="1"/>
  </r>
  <r>
    <s v="Tripwire"/>
    <s v="42286-89RI"/>
    <d v="2014-07-03T00:00:00"/>
    <n v="43.63"/>
    <n v="77.66"/>
    <x v="1"/>
    <n v="12"/>
    <x v="2"/>
  </r>
  <r>
    <s v="Emerald Block"/>
    <s v="51013-35ME"/>
    <d v="2014-01-23T00:00:00"/>
    <n v="149.5"/>
    <n v="23.17"/>
    <x v="1"/>
    <n v="10"/>
    <x v="1"/>
  </r>
  <r>
    <s v="Spruce Wood Stairs"/>
    <s v="49613-58PR"/>
    <d v="2014-01-09T00:00:00"/>
    <n v="145.09"/>
    <n v="-8.65"/>
    <x v="1"/>
    <n v="5"/>
    <x v="2"/>
  </r>
  <r>
    <s v="Birch Wood Stairs"/>
    <s v="13984-86IR"/>
    <d v="2014-05-15T00:00:00"/>
    <n v="90.19"/>
    <n v="-9.92"/>
    <x v="0"/>
    <n v="10"/>
    <x v="1"/>
  </r>
  <r>
    <s v="Jungle Wood Stairs"/>
    <s v="56154-29UN"/>
    <d v="2014-07-04T00:00:00"/>
    <n v="135.52000000000001"/>
    <n v="17.64"/>
    <x v="1"/>
    <n v="5"/>
    <x v="1"/>
  </r>
  <r>
    <s v="Command Block"/>
    <s v="90904-57OM"/>
    <d v="2014-02-07T00:00:00"/>
    <n v="40.03"/>
    <n v="-38.18"/>
    <x v="0"/>
    <n v="20"/>
    <x v="2"/>
  </r>
  <r>
    <s v="Beacon"/>
    <s v="28805-18EA"/>
    <d v="2014-05-22T00:00:00"/>
    <n v="113.6"/>
    <n v="2.0699999999999998"/>
    <x v="1"/>
    <n v="1"/>
    <x v="1"/>
  </r>
  <r>
    <s v="Cobblestone Wall"/>
    <s v="86991-83OB"/>
    <d v="2014-03-19T00:00:00"/>
    <n v="136.6"/>
    <n v="5.78"/>
    <x v="1"/>
    <n v="18"/>
    <x v="2"/>
  </r>
  <r>
    <s v="Mossy Cobblestone Wall"/>
    <s v="11805-95OS"/>
    <d v="2014-04-28T00:00:00"/>
    <n v="82.61"/>
    <n v="49.15"/>
    <x v="1"/>
    <n v="10"/>
    <x v="2"/>
  </r>
  <r>
    <s v="Flower Pot"/>
    <s v="29219-29LO"/>
    <d v="2014-04-06T00:00:00"/>
    <n v="41.58"/>
    <n v="28.42"/>
    <x v="0"/>
    <n v="12"/>
    <x v="2"/>
  </r>
  <r>
    <s v="Carrots"/>
    <s v="10053-47AR"/>
    <d v="2014-05-30T00:00:00"/>
    <n v="103.77"/>
    <n v="40.06"/>
    <x v="0"/>
    <n v="19"/>
    <x v="2"/>
  </r>
  <r>
    <s v="Potatoes"/>
    <s v="85846-20OT"/>
    <d v="2014-07-15T00:00:00"/>
    <n v="23.02"/>
    <n v="74.97"/>
    <x v="1"/>
    <n v="14"/>
    <x v="1"/>
  </r>
  <r>
    <s v="Wooden Button"/>
    <s v="93454-77OO"/>
    <d v="2014-01-27T00:00:00"/>
    <n v="74.11"/>
    <n v="-37.28"/>
    <x v="0"/>
    <n v="11"/>
    <x v="0"/>
  </r>
  <r>
    <s v="Mob Head"/>
    <s v="89985-29OB"/>
    <d v="2014-07-03T00:00:00"/>
    <n v="114.99"/>
    <n v="-48.99"/>
    <x v="1"/>
    <n v="15"/>
    <x v="0"/>
  </r>
  <r>
    <s v="Anvil"/>
    <s v="14764-65NV"/>
    <d v="2014-04-27T00:00:00"/>
    <n v="127.52"/>
    <n v="73.180000000000007"/>
    <x v="0"/>
    <n v="17"/>
    <x v="1"/>
  </r>
  <r>
    <s v="Trapped Chest"/>
    <s v="93927-57RA"/>
    <d v="2014-02-21T00:00:00"/>
    <n v="49.77"/>
    <n v="18.18"/>
    <x v="1"/>
    <n v="1"/>
    <x v="1"/>
  </r>
  <r>
    <s v="Weighted Pressure Plate (light)"/>
    <s v="25262-48EI"/>
    <d v="2014-07-09T00:00:00"/>
    <n v="22.01"/>
    <n v="-18.54"/>
    <x v="0"/>
    <n v="9"/>
    <x v="1"/>
  </r>
  <r>
    <s v="Weighted Pressure Plate (heavy)"/>
    <s v="14167-18EI"/>
    <d v="2014-05-30T00:00:00"/>
    <n v="125.89"/>
    <n v="-39.56"/>
    <x v="1"/>
    <n v="10"/>
    <x v="0"/>
  </r>
  <r>
    <s v="Redstone Comparator (inactive)"/>
    <s v="62887-13ED"/>
    <d v="2014-02-05T00:00:00"/>
    <n v="77.53"/>
    <n v="-48"/>
    <x v="0"/>
    <n v="6"/>
    <x v="0"/>
  </r>
  <r>
    <s v="Redstone Comparator (active)"/>
    <s v="48847-87ED"/>
    <d v="2014-02-01T00:00:00"/>
    <n v="145.9"/>
    <n v="16.91"/>
    <x v="0"/>
    <n v="9"/>
    <x v="1"/>
  </r>
  <r>
    <s v="Daylight Sensor"/>
    <s v="35729-66AY"/>
    <d v="2014-01-26T00:00:00"/>
    <n v="17.53"/>
    <n v="46.51"/>
    <x v="0"/>
    <n v="17"/>
    <x v="1"/>
  </r>
  <r>
    <s v="Redstone Block"/>
    <s v="96637-62ED"/>
    <d v="2014-04-09T00:00:00"/>
    <n v="136.75"/>
    <n v="-2.46"/>
    <x v="0"/>
    <n v="6"/>
    <x v="1"/>
  </r>
  <r>
    <s v="Nether Quartz Ore"/>
    <s v="12738-30ET"/>
    <d v="2014-03-12T00:00:00"/>
    <n v="139.78"/>
    <n v="39.36"/>
    <x v="1"/>
    <n v="6"/>
    <x v="1"/>
  </r>
  <r>
    <s v="Hopper"/>
    <s v="98731-58OP"/>
    <d v="2013-11-28T00:00:00"/>
    <n v="36.15"/>
    <n v="36.729999999999997"/>
    <x v="1"/>
    <n v="8"/>
    <x v="1"/>
  </r>
  <r>
    <s v="Quartz Block"/>
    <s v="68750-37UA"/>
    <d v="2014-04-04T00:00:00"/>
    <n v="94.94"/>
    <n v="-16.059999999999999"/>
    <x v="0"/>
    <n v="19"/>
    <x v="1"/>
  </r>
  <r>
    <s v="Chiseled Quartz Block"/>
    <s v="10573-75HI"/>
    <d v="2014-04-20T00:00:00"/>
    <n v="127.76"/>
    <n v="13.35"/>
    <x v="0"/>
    <n v="17"/>
    <x v="2"/>
  </r>
  <r>
    <s v="Pillar Quartz Block"/>
    <s v="15844-72IL"/>
    <d v="2014-03-05T00:00:00"/>
    <n v="69.34"/>
    <n v="-1.58"/>
    <x v="0"/>
    <n v="15"/>
    <x v="1"/>
  </r>
  <r>
    <s v="Quartz Stairs"/>
    <s v="42000-80UA"/>
    <d v="2014-01-29T00:00:00"/>
    <n v="12.54"/>
    <n v="-43.7"/>
    <x v="1"/>
    <n v="5"/>
    <x v="0"/>
  </r>
  <r>
    <s v="Activator Rail"/>
    <s v="27885-10CT"/>
    <d v="2014-04-15T00:00:00"/>
    <n v="86.85"/>
    <n v="18.329999999999998"/>
    <x v="0"/>
    <n v="2"/>
    <x v="2"/>
  </r>
  <r>
    <s v="Dropper"/>
    <s v="39049-32RO"/>
    <d v="2014-03-15T00:00:00"/>
    <n v="16.11"/>
    <n v="54.18"/>
    <x v="1"/>
    <n v="12"/>
    <x v="2"/>
  </r>
  <r>
    <s v="White Stained Clay"/>
    <s v="85894-67HI"/>
    <d v="2013-12-18T00:00:00"/>
    <n v="25.23"/>
    <n v="5.54"/>
    <x v="1"/>
    <n v="18"/>
    <x v="1"/>
  </r>
  <r>
    <s v="Orange Stained Clay"/>
    <s v="72359-71RA"/>
    <d v="2014-05-06T00:00:00"/>
    <n v="16.64"/>
    <n v="70.540000000000006"/>
    <x v="1"/>
    <n v="8"/>
    <x v="0"/>
  </r>
  <r>
    <s v="Magenta Stained Clay"/>
    <s v="52257-95AG"/>
    <d v="2014-01-02T00:00:00"/>
    <n v="49.24"/>
    <n v="69.739999999999995"/>
    <x v="1"/>
    <n v="17"/>
    <x v="1"/>
  </r>
  <r>
    <s v="Light Blue Stained Clay"/>
    <s v="16896-82IG"/>
    <d v="2014-03-15T00:00:00"/>
    <n v="132.11000000000001"/>
    <n v="-14.7"/>
    <x v="1"/>
    <n v="20"/>
    <x v="0"/>
  </r>
  <r>
    <s v="Yellow Stained Clay"/>
    <s v="24899-76EL"/>
    <d v="2014-06-06T00:00:00"/>
    <n v="42"/>
    <n v="65.069999999999993"/>
    <x v="0"/>
    <n v="17"/>
    <x v="1"/>
  </r>
  <r>
    <s v="Lime Stained Clay"/>
    <s v="55194-59IM"/>
    <d v="2014-01-14T00:00:00"/>
    <n v="98.09"/>
    <n v="51.55"/>
    <x v="0"/>
    <n v="10"/>
    <x v="1"/>
  </r>
  <r>
    <s v="Pink Stained Clay"/>
    <s v="45442-51IN"/>
    <d v="2013-12-29T00:00:00"/>
    <n v="11.27"/>
    <n v="59.51"/>
    <x v="1"/>
    <n v="15"/>
    <x v="0"/>
  </r>
  <r>
    <s v="Gray Stained Clay"/>
    <s v="65808-85RA"/>
    <d v="2014-01-16T00:00:00"/>
    <n v="121.37"/>
    <n v="37"/>
    <x v="1"/>
    <n v="17"/>
    <x v="2"/>
  </r>
  <r>
    <s v="Light Gray Stained Clay"/>
    <s v="15723-25IG"/>
    <d v="2013-11-22T00:00:00"/>
    <n v="92.65"/>
    <n v="-2.59"/>
    <x v="0"/>
    <n v="15"/>
    <x v="1"/>
  </r>
  <r>
    <s v="Cyan Stained Clay"/>
    <s v="41164-89YA"/>
    <d v="2014-02-19T00:00:00"/>
    <n v="66.03"/>
    <n v="53.09"/>
    <x v="1"/>
    <n v="10"/>
    <x v="0"/>
  </r>
  <r>
    <s v="Purple Stained Clay"/>
    <s v="62233-48UR"/>
    <d v="2014-04-09T00:00:00"/>
    <n v="11.91"/>
    <n v="16.53"/>
    <x v="0"/>
    <n v="1"/>
    <x v="1"/>
  </r>
  <r>
    <s v="Blue Stained Clay"/>
    <s v="79735-75LU"/>
    <d v="2014-04-10T00:00:00"/>
    <n v="47.57"/>
    <n v="-45.07"/>
    <x v="0"/>
    <n v="8"/>
    <x v="1"/>
  </r>
  <r>
    <s v="Brown Stained Clay"/>
    <s v="75095-51RO"/>
    <d v="2014-02-24T00:00:00"/>
    <n v="73.209999999999994"/>
    <n v="-30.71"/>
    <x v="0"/>
    <n v="15"/>
    <x v="1"/>
  </r>
  <r>
    <s v="Green Stained Clay"/>
    <s v="93337-28RE"/>
    <d v="2014-03-20T00:00:00"/>
    <n v="29.3"/>
    <n v="-48.97"/>
    <x v="0"/>
    <n v="16"/>
    <x v="1"/>
  </r>
  <r>
    <s v="Red Stained Clay"/>
    <s v="88697-92ED"/>
    <d v="2014-04-13T00:00:00"/>
    <n v="90.09"/>
    <n v="-25.84"/>
    <x v="1"/>
    <n v="4"/>
    <x v="1"/>
  </r>
  <r>
    <s v="Black Stained Clay"/>
    <s v="26854-24LA"/>
    <d v="2014-05-07T00:00:00"/>
    <n v="55.53"/>
    <n v="73.67"/>
    <x v="0"/>
    <n v="4"/>
    <x v="2"/>
  </r>
  <r>
    <s v="White Stained Glass Pane"/>
    <s v="73159-79HI"/>
    <d v="2014-06-02T00:00:00"/>
    <n v="11.72"/>
    <n v="-21.43"/>
    <x v="1"/>
    <n v="18"/>
    <x v="0"/>
  </r>
  <r>
    <s v="Orange Stained Glass Pane"/>
    <s v="81004-15RA"/>
    <d v="2014-01-13T00:00:00"/>
    <n v="102.36"/>
    <n v="-8.17"/>
    <x v="0"/>
    <n v="3"/>
    <x v="0"/>
  </r>
  <r>
    <s v="Magenta Stained Glass Pane"/>
    <s v="65133-89AG"/>
    <d v="2014-01-25T00:00:00"/>
    <n v="84.9"/>
    <n v="39.299999999999997"/>
    <x v="1"/>
    <n v="11"/>
    <x v="0"/>
  </r>
  <r>
    <s v="Light Blue Stained Glass Pane"/>
    <s v="65265-43IG"/>
    <d v="2013-12-31T00:00:00"/>
    <n v="148.33000000000001"/>
    <n v="41.55"/>
    <x v="0"/>
    <n v="14"/>
    <x v="1"/>
  </r>
  <r>
    <s v="Yellow Stained Glass Pane"/>
    <s v="85103-74EL"/>
    <d v="2014-05-31T00:00:00"/>
    <n v="120.95"/>
    <n v="2.97"/>
    <x v="1"/>
    <n v="20"/>
    <x v="1"/>
  </r>
  <r>
    <s v="Lime Stained Glass Pane"/>
    <s v="65175-12IM"/>
    <d v="2014-05-10T00:00:00"/>
    <n v="129.32"/>
    <n v="44.73"/>
    <x v="0"/>
    <n v="16"/>
    <x v="1"/>
  </r>
  <r>
    <s v="Pink Stained Glass Pane"/>
    <s v="59743-64IN"/>
    <d v="2014-03-20T00:00:00"/>
    <n v="147.38"/>
    <n v="58.53"/>
    <x v="1"/>
    <n v="6"/>
    <x v="2"/>
  </r>
  <r>
    <s v="Gray Stained Glass Pane"/>
    <s v="35924-28RA"/>
    <d v="2014-03-11T00:00:00"/>
    <n v="59.82"/>
    <n v="52.99"/>
    <x v="1"/>
    <n v="11"/>
    <x v="0"/>
  </r>
  <r>
    <s v="Light Gray Stained Glass Pane"/>
    <s v="22482-73IG"/>
    <d v="2014-05-31T00:00:00"/>
    <n v="90.06"/>
    <n v="-47.37"/>
    <x v="0"/>
    <n v="9"/>
    <x v="1"/>
  </r>
  <r>
    <s v="Cyan Stained Glass Pane"/>
    <s v="60292-44YA"/>
    <d v="2014-01-07T00:00:00"/>
    <n v="108.75"/>
    <n v="18.34"/>
    <x v="1"/>
    <n v="8"/>
    <x v="1"/>
  </r>
  <r>
    <s v="Purple Stained Glass Pane"/>
    <s v="88234-76UR"/>
    <d v="2014-01-17T00:00:00"/>
    <n v="47.74"/>
    <n v="74.56"/>
    <x v="0"/>
    <n v="14"/>
    <x v="1"/>
  </r>
  <r>
    <s v="Blue Stained Glass Pane"/>
    <s v="30656-14LU"/>
    <d v="2014-07-03T00:00:00"/>
    <n v="42.16"/>
    <n v="-33.18"/>
    <x v="1"/>
    <n v="7"/>
    <x v="2"/>
  </r>
  <r>
    <s v="Brown Stained Glass Pane"/>
    <s v="97394-69RO"/>
    <d v="2014-07-16T00:00:00"/>
    <n v="101.24"/>
    <n v="3.97"/>
    <x v="1"/>
    <n v="4"/>
    <x v="2"/>
  </r>
  <r>
    <s v="Green Stained Glass Pane"/>
    <s v="86767-12RE"/>
    <d v="2014-01-14T00:00:00"/>
    <n v="121.41"/>
    <n v="56.22"/>
    <x v="0"/>
    <n v="9"/>
    <x v="1"/>
  </r>
  <r>
    <s v="Red Stained Glass Pane"/>
    <s v="82437-39ED"/>
    <d v="2014-06-20T00:00:00"/>
    <n v="78.28"/>
    <n v="8.3000000000000007"/>
    <x v="0"/>
    <n v="11"/>
    <x v="1"/>
  </r>
  <r>
    <s v="Black Stained Glass Pane"/>
    <s v="17585-47LA"/>
    <d v="2014-04-06T00:00:00"/>
    <n v="28.32"/>
    <n v="-28.04"/>
    <x v="0"/>
    <n v="12"/>
    <x v="1"/>
  </r>
  <r>
    <s v="Acacia Leaves"/>
    <s v="87907-34CA"/>
    <d v="2013-11-22T00:00:00"/>
    <n v="130.31"/>
    <n v="61.12"/>
    <x v="0"/>
    <n v="13"/>
    <x v="1"/>
  </r>
  <r>
    <s v="Dark Oak Leaves"/>
    <s v="43878-57AR"/>
    <d v="2014-05-27T00:00:00"/>
    <n v="25.68"/>
    <n v="22.93"/>
    <x v="1"/>
    <n v="11"/>
    <x v="1"/>
  </r>
  <r>
    <s v="Acacia Wood"/>
    <s v="31338-92CA"/>
    <d v="2014-06-07T00:00:00"/>
    <n v="26.9"/>
    <n v="-34.51"/>
    <x v="1"/>
    <n v="18"/>
    <x v="2"/>
  </r>
  <r>
    <s v="Dark Oak Wood"/>
    <s v="63424-75AR"/>
    <d v="2014-07-18T00:00:00"/>
    <n v="69.03"/>
    <n v="76.19"/>
    <x v="0"/>
    <n v="15"/>
    <x v="1"/>
  </r>
  <r>
    <s v="Acacia Wood Stairs"/>
    <s v="28100-27CA"/>
    <d v="2014-06-19T00:00:00"/>
    <n v="137.91999999999999"/>
    <n v="0.47"/>
    <x v="0"/>
    <n v="4"/>
    <x v="0"/>
  </r>
  <r>
    <s v="Dark Oak Wood Stairs"/>
    <s v="49148-75AR"/>
    <d v="2014-06-19T00:00:00"/>
    <n v="89.75"/>
    <n v="-17.88"/>
    <x v="1"/>
    <n v="15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">
  <location ref="A2:D12" firstHeaderRow="0" firstDataRow="1" firstDataCol="1"/>
  <pivotFields count="8">
    <pivotField showAll="0"/>
    <pivotField showAll="0"/>
    <pivotField numFmtId="14" showAll="0"/>
    <pivotField dataField="1" numFmtId="44" showAll="0"/>
    <pivotField dataField="1" numFmtId="164" showAll="0"/>
    <pivotField axis="axisRow" showAll="0">
      <items count="3">
        <item x="1"/>
        <item x="0"/>
        <item t="default"/>
      </items>
    </pivotField>
    <pivotField dataField="1" showAll="0"/>
    <pivotField axis="axisRow" showAll="0">
      <items count="4">
        <item x="0"/>
        <item x="2"/>
        <item x="1"/>
        <item t="default"/>
      </items>
    </pivotField>
  </pivotFields>
  <rowFields count="2">
    <field x="7"/>
    <field x="5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Cost" fld="3" baseField="0" baseItem="0"/>
    <dataField name="Sum of Value" fld="4" baseField="0" baseItem="0"/>
    <dataField name="Average of TTC" fld="6" subtotal="average" baseField="5" baseItem="0"/>
  </dataFields>
  <chartFormats count="2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9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0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1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12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13">
      <pivotArea type="data" outline="0" fieldPosition="0">
        <references count="3">
          <reference field="4294967294" count="1" selected="0">
            <x v="1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14">
      <pivotArea type="data" outline="0" fieldPosition="0">
        <references count="3">
          <reference field="4294967294" count="1" selected="0">
            <x v="1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  <chartFormat chart="0" format="15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0"/>
          </reference>
        </references>
      </pivotArea>
    </chartFormat>
    <chartFormat chart="0" format="16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0"/>
          </reference>
        </references>
      </pivotArea>
    </chartFormat>
    <chartFormat chart="0" format="17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1"/>
          </reference>
        </references>
      </pivotArea>
    </chartFormat>
    <chartFormat chart="0" format="18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1"/>
          </reference>
        </references>
      </pivotArea>
    </chartFormat>
    <chartFormat chart="0" format="19">
      <pivotArea type="data" outline="0" fieldPosition="0">
        <references count="3">
          <reference field="4294967294" count="1" selected="0">
            <x v="2"/>
          </reference>
          <reference field="5" count="1" selected="0">
            <x v="0"/>
          </reference>
          <reference field="7" count="1" selected="0">
            <x v="2"/>
          </reference>
        </references>
      </pivotArea>
    </chartFormat>
    <chartFormat chart="0" format="20">
      <pivotArea type="data" outline="0" fieldPosition="0">
        <references count="3">
          <reference field="4294967294" count="1" selected="0">
            <x v="2"/>
          </reference>
          <reference field="5" count="1" selected="0">
            <x v="1"/>
          </reference>
          <reference field="7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T3:V7" totalsRowShown="0">
  <autoFilter ref="T3:V7"/>
  <tableColumns count="3">
    <tableColumn id="1" name="Stat" dataDxfId="6"/>
    <tableColumn id="2" name="Value"/>
    <tableColumn id="3" name="Value Over Tim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H2:O170" totalsRowShown="0">
  <autoFilter ref="H2:O170"/>
  <tableColumns count="8">
    <tableColumn id="1" name="Asset"/>
    <tableColumn id="2" name="Asset Tag" dataDxfId="5">
      <calculatedColumnFormula>CONCATENATE(RANDBETWEEN(10000,99999),"-",RANDBETWEEN(10,99),UPPER(MID(Table1[[#This Row],[Asset]],2,2)))</calculatedColumnFormula>
    </tableColumn>
    <tableColumn id="3" name="Date" dataDxfId="4">
      <calculatedColumnFormula>RANDBETWEEN(41600,41840)</calculatedColumnFormula>
    </tableColumn>
    <tableColumn id="4" name="Cost" dataCellStyle="Currency">
      <calculatedColumnFormula>RANDBETWEEN(1000,15000)/100</calculatedColumnFormula>
    </tableColumn>
    <tableColumn id="5" name="Value" dataDxfId="3" dataCellStyle="Currency">
      <calculatedColumnFormula>RANDBETWEEN(-5000,8000)/100</calculatedColumnFormula>
    </tableColumn>
    <tableColumn id="6" name="Expense" dataDxfId="2">
      <calculatedColumnFormula>IF(RAND()&gt;0.5,"Yes","No")</calculatedColumnFormula>
    </tableColumn>
    <tableColumn id="7" name="TTC" dataDxfId="1">
      <calculatedColumnFormula>RANDBETWEEN(1,20)</calculatedColumnFormula>
    </tableColumn>
    <tableColumn id="8" name="Category" dataDxfId="0">
      <calculatedColumnFormula>IF(RAND()&gt;0.5,"Mining",IF(RAND()&gt;0.4,"Crafting","Minecrafting"))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5:BJ32"/>
  <sheetViews>
    <sheetView tabSelected="1" workbookViewId="0">
      <selection activeCell="AR21" sqref="AR21"/>
    </sheetView>
  </sheetViews>
  <sheetFormatPr defaultRowHeight="15" x14ac:dyDescent="0.25"/>
  <cols>
    <col min="1" max="69" width="2.85546875" customWidth="1"/>
  </cols>
  <sheetData>
    <row r="5" spans="9:62" x14ac:dyDescent="0.25">
      <c r="I5" s="1"/>
      <c r="J5" s="1"/>
      <c r="N5" s="1"/>
      <c r="O5" s="1"/>
      <c r="Q5" s="1"/>
      <c r="R5" s="1"/>
      <c r="T5" s="1"/>
      <c r="U5" s="1"/>
      <c r="X5" s="1"/>
      <c r="Y5" s="1"/>
      <c r="AA5" s="1"/>
      <c r="AB5" s="1"/>
      <c r="AC5" s="1"/>
      <c r="AD5" s="1"/>
      <c r="AE5" s="1"/>
      <c r="AG5" s="1"/>
      <c r="AH5" s="1"/>
      <c r="AI5" s="1"/>
      <c r="AJ5" s="1"/>
      <c r="AK5" s="1"/>
      <c r="AM5" s="1"/>
      <c r="AN5" s="1"/>
      <c r="AO5" s="1"/>
      <c r="AP5" s="1"/>
      <c r="AQ5" s="1"/>
      <c r="AS5" s="1"/>
      <c r="AT5" s="1"/>
      <c r="AU5" s="1"/>
      <c r="AV5" s="1"/>
      <c r="AW5" s="1"/>
      <c r="AY5" s="1"/>
      <c r="AZ5" s="1"/>
      <c r="BA5" s="1"/>
      <c r="BB5" s="1"/>
      <c r="BC5" s="1"/>
      <c r="BE5" s="1"/>
      <c r="BF5" s="1"/>
      <c r="BG5" s="1"/>
      <c r="BH5" s="1"/>
      <c r="BI5" s="1"/>
      <c r="BJ5" s="1"/>
    </row>
    <row r="6" spans="9:62" x14ac:dyDescent="0.25">
      <c r="I6" s="1"/>
      <c r="J6" s="1"/>
      <c r="K6" s="1"/>
      <c r="M6" s="1"/>
      <c r="N6" s="1"/>
      <c r="O6" s="1"/>
      <c r="Q6" s="1"/>
      <c r="R6" s="1"/>
      <c r="T6" s="1"/>
      <c r="U6" s="1"/>
      <c r="V6" s="1"/>
      <c r="X6" s="1"/>
      <c r="Y6" s="1"/>
      <c r="AA6" s="1"/>
      <c r="AB6" s="1"/>
      <c r="AC6" s="10"/>
      <c r="AD6" s="10"/>
      <c r="AE6" s="10"/>
      <c r="AG6" s="1"/>
      <c r="AH6" s="1"/>
      <c r="AI6" s="10"/>
      <c r="AJ6" s="10"/>
      <c r="AK6" s="10"/>
      <c r="AM6" s="1"/>
      <c r="AN6" s="1"/>
      <c r="AO6" s="10"/>
      <c r="AP6" s="1"/>
      <c r="AQ6" s="1"/>
      <c r="AS6" s="1"/>
      <c r="AT6" s="10"/>
      <c r="AU6" s="1"/>
      <c r="AV6" s="10"/>
      <c r="AW6" s="1"/>
      <c r="AY6" s="1"/>
      <c r="AZ6" s="1"/>
      <c r="BA6" s="10"/>
      <c r="BB6" s="10"/>
      <c r="BC6" s="10"/>
      <c r="BE6" s="10"/>
      <c r="BF6" s="10"/>
      <c r="BG6" s="1"/>
      <c r="BH6" s="1"/>
      <c r="BI6" s="10"/>
      <c r="BJ6" s="10"/>
    </row>
    <row r="7" spans="9:62" x14ac:dyDescent="0.25">
      <c r="I7" s="1"/>
      <c r="J7" s="1"/>
      <c r="K7" s="1"/>
      <c r="L7" s="1"/>
      <c r="M7" s="1"/>
      <c r="N7" s="1"/>
      <c r="O7" s="1"/>
      <c r="Q7" s="1"/>
      <c r="R7" s="1"/>
      <c r="T7" s="1"/>
      <c r="U7" s="1"/>
      <c r="V7" s="1"/>
      <c r="X7" s="1"/>
      <c r="Y7" s="1"/>
      <c r="AA7" s="1"/>
      <c r="AB7" s="1"/>
      <c r="AG7" s="1"/>
      <c r="AH7" s="1"/>
      <c r="AM7" s="1"/>
      <c r="AN7" s="1"/>
      <c r="AP7" s="1"/>
      <c r="AQ7" s="1"/>
      <c r="AS7" s="1"/>
      <c r="AT7" s="1"/>
      <c r="AU7" s="10"/>
      <c r="AV7" s="1"/>
      <c r="AW7" s="1"/>
      <c r="AY7" s="1"/>
      <c r="AZ7" s="1"/>
      <c r="BG7" s="1"/>
      <c r="BH7" s="1"/>
    </row>
    <row r="8" spans="9:62" x14ac:dyDescent="0.25">
      <c r="I8" s="1"/>
      <c r="J8" s="1"/>
      <c r="K8" s="10"/>
      <c r="L8" s="1"/>
      <c r="M8" s="10"/>
      <c r="N8" s="1"/>
      <c r="O8" s="1"/>
      <c r="Q8" s="1"/>
      <c r="R8" s="1"/>
      <c r="T8" s="1"/>
      <c r="U8" s="1"/>
      <c r="V8" s="10"/>
      <c r="W8" s="1"/>
      <c r="X8" s="1"/>
      <c r="Y8" s="1"/>
      <c r="AA8" s="1"/>
      <c r="AB8" s="1"/>
      <c r="AC8" s="1"/>
      <c r="AD8" s="1"/>
      <c r="AE8" s="1"/>
      <c r="AG8" s="1"/>
      <c r="AH8" s="1"/>
      <c r="AM8" s="1"/>
      <c r="AN8" s="1"/>
      <c r="AO8" s="1"/>
      <c r="AP8" s="1"/>
      <c r="AQ8" s="10"/>
      <c r="AS8" s="1"/>
      <c r="AT8" s="1"/>
      <c r="AU8" s="1"/>
      <c r="AV8" s="1"/>
      <c r="AW8" s="1"/>
      <c r="AY8" s="1"/>
      <c r="AZ8" s="1"/>
      <c r="BA8" s="1"/>
      <c r="BB8" s="1"/>
      <c r="BC8" s="1"/>
      <c r="BG8" s="1"/>
      <c r="BH8" s="1"/>
    </row>
    <row r="9" spans="9:62" x14ac:dyDescent="0.25">
      <c r="I9" s="1"/>
      <c r="J9" s="1"/>
      <c r="L9" s="1"/>
      <c r="N9" s="1"/>
      <c r="O9" s="1"/>
      <c r="Q9" s="1"/>
      <c r="R9" s="1"/>
      <c r="T9" s="1"/>
      <c r="U9" s="1"/>
      <c r="W9" s="1"/>
      <c r="X9" s="1"/>
      <c r="Y9" s="1"/>
      <c r="AA9" s="1"/>
      <c r="AB9" s="1"/>
      <c r="AC9" s="10"/>
      <c r="AD9" s="10"/>
      <c r="AE9" s="10"/>
      <c r="AG9" s="1"/>
      <c r="AH9" s="1"/>
      <c r="AM9" s="1"/>
      <c r="AN9" s="1"/>
      <c r="AO9" s="10"/>
      <c r="AP9" s="1"/>
      <c r="AQ9" s="1"/>
      <c r="AS9" s="1"/>
      <c r="AT9" s="1"/>
      <c r="AU9" s="1"/>
      <c r="AV9" s="1"/>
      <c r="AW9" s="1"/>
      <c r="AY9" s="1"/>
      <c r="AZ9" s="1"/>
      <c r="BA9" s="10"/>
      <c r="BB9" s="10"/>
      <c r="BC9" s="10"/>
      <c r="BG9" s="1"/>
      <c r="BH9" s="1"/>
    </row>
    <row r="10" spans="9:62" x14ac:dyDescent="0.25">
      <c r="I10" s="1"/>
      <c r="J10" s="1"/>
      <c r="L10" s="10"/>
      <c r="N10" s="1"/>
      <c r="O10" s="1"/>
      <c r="Q10" s="1"/>
      <c r="R10" s="1"/>
      <c r="T10" s="1"/>
      <c r="U10" s="1"/>
      <c r="W10" s="10"/>
      <c r="X10" s="1"/>
      <c r="Y10" s="1"/>
      <c r="AA10" s="1"/>
      <c r="AB10" s="1"/>
      <c r="AG10" s="1"/>
      <c r="AH10" s="1"/>
      <c r="AM10" s="1"/>
      <c r="AN10" s="1"/>
      <c r="AP10" s="1"/>
      <c r="AQ10" s="1"/>
      <c r="AS10" s="1"/>
      <c r="AT10" s="1"/>
      <c r="AU10" s="10"/>
      <c r="AV10" s="1"/>
      <c r="AW10" s="1"/>
      <c r="AY10" s="1"/>
      <c r="AZ10" s="1"/>
      <c r="BG10" s="1"/>
      <c r="BH10" s="1"/>
    </row>
    <row r="11" spans="9:62" x14ac:dyDescent="0.25">
      <c r="I11" s="1"/>
      <c r="J11" s="1"/>
      <c r="N11" s="1"/>
      <c r="O11" s="1"/>
      <c r="Q11" s="1"/>
      <c r="R11" s="1"/>
      <c r="T11" s="1"/>
      <c r="U11" s="1"/>
      <c r="X11" s="1"/>
      <c r="Y11" s="1"/>
      <c r="AA11" s="1"/>
      <c r="AB11" s="1"/>
      <c r="AC11" s="1"/>
      <c r="AD11" s="1"/>
      <c r="AE11" s="1"/>
      <c r="AG11" s="1"/>
      <c r="AH11" s="1"/>
      <c r="AI11" s="1"/>
      <c r="AJ11" s="1"/>
      <c r="AK11" s="1"/>
      <c r="AM11" s="1"/>
      <c r="AN11" s="1"/>
      <c r="AP11" s="1"/>
      <c r="AQ11" s="1"/>
      <c r="AS11" s="1"/>
      <c r="AT11" s="1"/>
      <c r="AV11" s="1"/>
      <c r="AW11" s="1"/>
      <c r="AY11" s="1"/>
      <c r="AZ11" s="1"/>
      <c r="BG11" s="1"/>
      <c r="BH11" s="1"/>
    </row>
    <row r="12" spans="9:62" x14ac:dyDescent="0.25">
      <c r="I12" s="10"/>
      <c r="J12" s="10"/>
      <c r="N12" s="10"/>
      <c r="O12" s="10"/>
      <c r="Q12" s="10"/>
      <c r="R12" s="10"/>
      <c r="T12" s="10"/>
      <c r="U12" s="10"/>
      <c r="X12" s="10"/>
      <c r="Y12" s="10"/>
      <c r="AA12" s="10"/>
      <c r="AB12" s="10"/>
      <c r="AC12" s="10"/>
      <c r="AD12" s="10"/>
      <c r="AE12" s="10"/>
      <c r="AG12" s="10"/>
      <c r="AH12" s="10"/>
      <c r="AI12" s="10"/>
      <c r="AJ12" s="10"/>
      <c r="AK12" s="10"/>
      <c r="AM12" s="10"/>
      <c r="AN12" s="10"/>
      <c r="AP12" s="10"/>
      <c r="AQ12" s="10"/>
      <c r="AS12" s="10"/>
      <c r="AT12" s="10"/>
      <c r="AV12" s="10"/>
      <c r="AW12" s="10"/>
      <c r="AY12" s="10"/>
      <c r="AZ12" s="10"/>
      <c r="BG12" s="10"/>
      <c r="BH12" s="10"/>
    </row>
    <row r="16" spans="9:62" x14ac:dyDescent="0.25">
      <c r="AD16" s="1"/>
      <c r="AE16" s="1"/>
      <c r="AF16" s="1"/>
      <c r="AG16" s="1"/>
      <c r="AH16" s="1"/>
    </row>
    <row r="17" spans="3:34" x14ac:dyDescent="0.25">
      <c r="AD17" s="10"/>
      <c r="AE17" s="10"/>
      <c r="AF17" s="10"/>
      <c r="AG17" s="1"/>
      <c r="AH17" s="1"/>
    </row>
    <row r="18" spans="3:34" x14ac:dyDescent="0.25">
      <c r="AG18" s="1"/>
      <c r="AH18" s="1"/>
    </row>
    <row r="19" spans="3:34" x14ac:dyDescent="0.25">
      <c r="AD19" s="1"/>
      <c r="AE19" s="1"/>
      <c r="AF19" s="1"/>
      <c r="AG19" s="1"/>
      <c r="AH19" s="1"/>
    </row>
    <row r="20" spans="3:34" x14ac:dyDescent="0.25">
      <c r="AD20" s="1"/>
      <c r="AE20" s="1"/>
      <c r="AF20" s="10"/>
      <c r="AG20" s="10"/>
      <c r="AH20" s="10"/>
    </row>
    <row r="21" spans="3:34" x14ac:dyDescent="0.25">
      <c r="AD21" s="1"/>
      <c r="AE21" s="1"/>
    </row>
    <row r="22" spans="3:34" x14ac:dyDescent="0.25">
      <c r="AD22" s="1"/>
      <c r="AE22" s="1"/>
      <c r="AF22" s="1"/>
      <c r="AG22" s="1"/>
      <c r="AH22" s="1"/>
    </row>
    <row r="23" spans="3:34" x14ac:dyDescent="0.25">
      <c r="AD23" s="10"/>
      <c r="AE23" s="10"/>
      <c r="AF23" s="10"/>
      <c r="AG23" s="10"/>
      <c r="AH23" s="10"/>
    </row>
    <row r="32" spans="3:34" x14ac:dyDescent="0.25">
      <c r="C32" t="s"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V37"/>
  <sheetViews>
    <sheetView zoomScaleNormal="100" workbookViewId="0">
      <selection activeCell="L18" sqref="L18"/>
    </sheetView>
  </sheetViews>
  <sheetFormatPr defaultRowHeight="15" x14ac:dyDescent="0.25"/>
  <cols>
    <col min="1" max="1" width="2.85546875" customWidth="1"/>
    <col min="2" max="17" width="8.5703125" customWidth="1"/>
    <col min="18" max="18" width="2.85546875" customWidth="1"/>
    <col min="20" max="20" width="11.7109375" customWidth="1"/>
    <col min="21" max="21" width="11" customWidth="1"/>
    <col min="22" max="22" width="21.28515625" customWidth="1"/>
  </cols>
  <sheetData>
    <row r="2" spans="2:22" ht="40.15" customHeight="1" x14ac:dyDescent="0.25">
      <c r="B2" s="12" t="s">
        <v>202</v>
      </c>
      <c r="C2" s="12" t="s">
        <v>202</v>
      </c>
      <c r="D2" s="12" t="s">
        <v>202</v>
      </c>
      <c r="E2" s="12" t="s">
        <v>202</v>
      </c>
      <c r="F2" s="12" t="s">
        <v>202</v>
      </c>
      <c r="G2" s="12" t="s">
        <v>202</v>
      </c>
      <c r="H2" s="12" t="s">
        <v>202</v>
      </c>
      <c r="I2" s="12" t="s">
        <v>202</v>
      </c>
      <c r="J2" s="12" t="s">
        <v>202</v>
      </c>
      <c r="K2" s="12" t="s">
        <v>202</v>
      </c>
      <c r="L2" s="12" t="s">
        <v>202</v>
      </c>
      <c r="M2" s="12" t="s">
        <v>203</v>
      </c>
      <c r="N2" s="12" t="s">
        <v>202</v>
      </c>
      <c r="O2" s="12" t="s">
        <v>202</v>
      </c>
      <c r="P2" s="12" t="s">
        <v>202</v>
      </c>
      <c r="Q2" s="12" t="s">
        <v>202</v>
      </c>
    </row>
    <row r="3" spans="2:22" ht="37.5" customHeight="1" x14ac:dyDescent="0.25">
      <c r="B3" s="12" t="s">
        <v>202</v>
      </c>
      <c r="C3" s="12" t="s">
        <v>202</v>
      </c>
      <c r="D3" s="12" t="s">
        <v>202</v>
      </c>
      <c r="E3" s="12" t="s">
        <v>202</v>
      </c>
      <c r="F3" s="12" t="s">
        <v>202</v>
      </c>
      <c r="G3" s="12" t="s">
        <v>202</v>
      </c>
      <c r="H3" s="12" t="s">
        <v>202</v>
      </c>
      <c r="I3" s="12" t="s">
        <v>202</v>
      </c>
      <c r="J3" s="12" t="s">
        <v>202</v>
      </c>
      <c r="K3" s="12" t="s">
        <v>202</v>
      </c>
      <c r="L3" s="12" t="s">
        <v>203</v>
      </c>
      <c r="M3" s="12" t="s">
        <v>203</v>
      </c>
      <c r="N3" s="12" t="s">
        <v>203</v>
      </c>
      <c r="O3" s="12" t="s">
        <v>202</v>
      </c>
      <c r="P3" s="12" t="s">
        <v>202</v>
      </c>
      <c r="Q3" s="12" t="s">
        <v>202</v>
      </c>
      <c r="T3" s="12" t="s">
        <v>223</v>
      </c>
      <c r="U3" t="s">
        <v>7</v>
      </c>
      <c r="V3" t="s">
        <v>224</v>
      </c>
    </row>
    <row r="4" spans="2:22" ht="37.5" customHeight="1" x14ac:dyDescent="0.25">
      <c r="B4" s="12" t="s">
        <v>202</v>
      </c>
      <c r="C4" s="12" t="s">
        <v>202</v>
      </c>
      <c r="D4" s="12" t="s">
        <v>202</v>
      </c>
      <c r="E4" s="12" t="s">
        <v>202</v>
      </c>
      <c r="F4" s="12" t="s">
        <v>202</v>
      </c>
      <c r="G4" s="12" t="s">
        <v>202</v>
      </c>
      <c r="H4" s="12" t="s">
        <v>202</v>
      </c>
      <c r="I4" s="12" t="s">
        <v>202</v>
      </c>
      <c r="J4" s="12" t="s">
        <v>202</v>
      </c>
      <c r="K4" s="12" t="s">
        <v>202</v>
      </c>
      <c r="L4" s="12" t="s">
        <v>203</v>
      </c>
      <c r="M4" s="12" t="s">
        <v>203</v>
      </c>
      <c r="N4" s="12" t="s">
        <v>203</v>
      </c>
      <c r="O4" s="12" t="s">
        <v>202</v>
      </c>
      <c r="P4" s="12" t="s">
        <v>202</v>
      </c>
      <c r="Q4" s="12" t="s">
        <v>202</v>
      </c>
      <c r="T4" s="17" t="s">
        <v>220</v>
      </c>
      <c r="U4">
        <v>7</v>
      </c>
    </row>
    <row r="5" spans="2:22" ht="37.5" customHeight="1" x14ac:dyDescent="0.25">
      <c r="B5" s="12" t="s">
        <v>202</v>
      </c>
      <c r="C5" s="12" t="s">
        <v>202</v>
      </c>
      <c r="D5" s="12" t="s">
        <v>203</v>
      </c>
      <c r="E5" s="12" t="s">
        <v>202</v>
      </c>
      <c r="F5" s="12" t="s">
        <v>202</v>
      </c>
      <c r="G5" s="12" t="s">
        <v>202</v>
      </c>
      <c r="H5" s="12" t="s">
        <v>202</v>
      </c>
      <c r="I5" s="12" t="s">
        <v>202</v>
      </c>
      <c r="J5" s="12" t="s">
        <v>202</v>
      </c>
      <c r="K5" s="12" t="s">
        <v>202</v>
      </c>
      <c r="L5" s="12" t="s">
        <v>202</v>
      </c>
      <c r="M5" s="12" t="s">
        <v>199</v>
      </c>
      <c r="N5" s="12" t="s">
        <v>202</v>
      </c>
      <c r="O5" s="12" t="s">
        <v>202</v>
      </c>
      <c r="P5" s="12" t="s">
        <v>211</v>
      </c>
      <c r="Q5" s="12" t="s">
        <v>211</v>
      </c>
      <c r="T5" s="17" t="s">
        <v>221</v>
      </c>
      <c r="U5">
        <v>0</v>
      </c>
    </row>
    <row r="6" spans="2:22" ht="37.5" customHeight="1" x14ac:dyDescent="0.25">
      <c r="B6" s="12" t="s">
        <v>202</v>
      </c>
      <c r="C6" s="12" t="s">
        <v>203</v>
      </c>
      <c r="D6" s="12" t="s">
        <v>203</v>
      </c>
      <c r="E6" s="12" t="s">
        <v>203</v>
      </c>
      <c r="F6" s="12" t="s">
        <v>202</v>
      </c>
      <c r="G6" s="12" t="s">
        <v>202</v>
      </c>
      <c r="H6" s="12" t="s">
        <v>202</v>
      </c>
      <c r="I6" s="12" t="s">
        <v>202</v>
      </c>
      <c r="J6" s="12" t="s">
        <v>202</v>
      </c>
      <c r="K6" s="12" t="s">
        <v>202</v>
      </c>
      <c r="L6" s="12" t="s">
        <v>202</v>
      </c>
      <c r="M6" s="12" t="s">
        <v>199</v>
      </c>
      <c r="N6" s="12" t="s">
        <v>202</v>
      </c>
      <c r="O6" s="12" t="s">
        <v>202</v>
      </c>
      <c r="P6" s="12" t="s">
        <v>211</v>
      </c>
      <c r="Q6" s="12" t="s">
        <v>211</v>
      </c>
      <c r="T6" s="17" t="s">
        <v>226</v>
      </c>
      <c r="U6">
        <v>5</v>
      </c>
    </row>
    <row r="7" spans="2:22" ht="37.5" customHeight="1" x14ac:dyDescent="0.25">
      <c r="B7" s="12" t="s">
        <v>202</v>
      </c>
      <c r="C7" s="12" t="s">
        <v>203</v>
      </c>
      <c r="D7" s="12" t="s">
        <v>203</v>
      </c>
      <c r="E7" s="12" t="s">
        <v>203</v>
      </c>
      <c r="F7" s="12" t="s">
        <v>202</v>
      </c>
      <c r="G7" s="12" t="s">
        <v>202</v>
      </c>
      <c r="H7" s="12" t="s">
        <v>202</v>
      </c>
      <c r="I7" s="12" t="s">
        <v>202</v>
      </c>
      <c r="J7" s="12" t="s">
        <v>202</v>
      </c>
      <c r="K7" s="12" t="s">
        <v>201</v>
      </c>
      <c r="L7" s="12" t="s">
        <v>201</v>
      </c>
      <c r="M7" s="12" t="s">
        <v>201</v>
      </c>
      <c r="N7" s="12" t="s">
        <v>201</v>
      </c>
      <c r="O7" s="12" t="s">
        <v>201</v>
      </c>
      <c r="P7" s="12" t="s">
        <v>211</v>
      </c>
      <c r="Q7" s="12" t="s">
        <v>211</v>
      </c>
      <c r="T7" s="17" t="s">
        <v>222</v>
      </c>
      <c r="U7">
        <v>23</v>
      </c>
    </row>
    <row r="8" spans="2:22" ht="37.5" customHeight="1" x14ac:dyDescent="0.25">
      <c r="B8" s="12" t="s">
        <v>202</v>
      </c>
      <c r="C8" s="12" t="s">
        <v>202</v>
      </c>
      <c r="D8" s="12" t="s">
        <v>199</v>
      </c>
      <c r="E8" s="12" t="s">
        <v>202</v>
      </c>
      <c r="F8" s="12" t="s">
        <v>202</v>
      </c>
      <c r="G8" s="12" t="s">
        <v>202</v>
      </c>
      <c r="H8" s="12" t="s">
        <v>202</v>
      </c>
      <c r="I8" s="12" t="s">
        <v>202</v>
      </c>
      <c r="J8" s="12" t="s">
        <v>200</v>
      </c>
      <c r="K8" s="12" t="s">
        <v>200</v>
      </c>
      <c r="L8" s="12" t="s">
        <v>200</v>
      </c>
      <c r="M8" s="12" t="s">
        <v>200</v>
      </c>
      <c r="N8" s="12" t="s">
        <v>211</v>
      </c>
      <c r="O8" s="12" t="s">
        <v>211</v>
      </c>
      <c r="P8" s="12" t="s">
        <v>211</v>
      </c>
      <c r="Q8" s="12" t="s">
        <v>211</v>
      </c>
    </row>
    <row r="9" spans="2:22" ht="37.5" customHeight="1" x14ac:dyDescent="0.25">
      <c r="B9" s="12" t="s">
        <v>201</v>
      </c>
      <c r="C9" s="12" t="s">
        <v>202</v>
      </c>
      <c r="D9" s="12" t="s">
        <v>199</v>
      </c>
      <c r="E9" s="12" t="s">
        <v>202</v>
      </c>
      <c r="F9" s="12" t="s">
        <v>202</v>
      </c>
      <c r="G9" s="12" t="s">
        <v>202</v>
      </c>
      <c r="H9" s="12" t="s">
        <v>202</v>
      </c>
      <c r="I9" s="12" t="s">
        <v>200</v>
      </c>
      <c r="J9" s="12" t="s">
        <v>200</v>
      </c>
      <c r="K9" s="12" t="s">
        <v>200</v>
      </c>
      <c r="L9" s="12" t="s">
        <v>200</v>
      </c>
      <c r="M9" s="12" t="s">
        <v>211</v>
      </c>
      <c r="N9" s="12" t="s">
        <v>211</v>
      </c>
      <c r="O9" s="12" t="s">
        <v>211</v>
      </c>
      <c r="P9" s="12" t="s">
        <v>211</v>
      </c>
      <c r="Q9" s="12" t="s">
        <v>211</v>
      </c>
    </row>
    <row r="10" spans="2:22" ht="37.5" customHeight="1" x14ac:dyDescent="0.25">
      <c r="B10" s="12" t="s">
        <v>200</v>
      </c>
      <c r="C10" s="12" t="s">
        <v>201</v>
      </c>
      <c r="D10" s="12" t="s">
        <v>201</v>
      </c>
      <c r="E10" s="12" t="s">
        <v>201</v>
      </c>
      <c r="F10" s="12" t="s">
        <v>201</v>
      </c>
      <c r="G10" s="12" t="s">
        <v>201</v>
      </c>
      <c r="H10" s="12" t="s">
        <v>201</v>
      </c>
      <c r="I10" s="12" t="s">
        <v>200</v>
      </c>
      <c r="J10" s="12" t="s">
        <v>200</v>
      </c>
      <c r="K10" s="12" t="s">
        <v>200</v>
      </c>
      <c r="L10" s="12" t="s">
        <v>200</v>
      </c>
      <c r="M10" s="12" t="s">
        <v>211</v>
      </c>
      <c r="N10" s="12" t="s">
        <v>211</v>
      </c>
      <c r="O10" s="12" t="s">
        <v>211</v>
      </c>
      <c r="P10" s="12" t="s">
        <v>211</v>
      </c>
      <c r="Q10" s="12" t="s">
        <v>211</v>
      </c>
    </row>
    <row r="11" spans="2:22" ht="37.15" customHeight="1" x14ac:dyDescent="0.25">
      <c r="B11" s="12" t="s">
        <v>200</v>
      </c>
      <c r="C11" s="12" t="s">
        <v>200</v>
      </c>
      <c r="D11" s="12" t="s">
        <v>200</v>
      </c>
      <c r="E11" s="12" t="s">
        <v>200</v>
      </c>
      <c r="F11" s="12" t="s">
        <v>200</v>
      </c>
      <c r="G11" s="12" t="s">
        <v>200</v>
      </c>
      <c r="H11" s="12" t="s">
        <v>200</v>
      </c>
      <c r="I11" s="12" t="s">
        <v>200</v>
      </c>
      <c r="J11" s="12" t="s">
        <v>200</v>
      </c>
      <c r="K11" s="12" t="s">
        <v>200</v>
      </c>
      <c r="L11" s="12" t="s">
        <v>200</v>
      </c>
      <c r="M11" s="12" t="s">
        <v>211</v>
      </c>
      <c r="N11" s="12" t="s">
        <v>211</v>
      </c>
      <c r="O11" s="12" t="s">
        <v>211</v>
      </c>
      <c r="P11" s="12" t="s">
        <v>211</v>
      </c>
      <c r="Q11" s="12" t="s">
        <v>211</v>
      </c>
    </row>
    <row r="12" spans="2:22" ht="37.5" customHeight="1" thickBot="1" x14ac:dyDescent="0.3">
      <c r="B12" s="12" t="s">
        <v>200</v>
      </c>
      <c r="C12" s="12" t="s">
        <v>211</v>
      </c>
      <c r="D12" s="12" t="s">
        <v>200</v>
      </c>
      <c r="E12" s="12" t="s">
        <v>200</v>
      </c>
      <c r="F12" s="12" t="s">
        <v>200</v>
      </c>
      <c r="G12" s="12" t="s">
        <v>200</v>
      </c>
      <c r="H12" s="12" t="s">
        <v>200</v>
      </c>
      <c r="I12" s="12" t="s">
        <v>200</v>
      </c>
      <c r="J12" s="12" t="s">
        <v>200</v>
      </c>
      <c r="K12" s="12" t="s">
        <v>200</v>
      </c>
      <c r="L12" s="12" t="s">
        <v>211</v>
      </c>
      <c r="M12" s="12" t="s">
        <v>211</v>
      </c>
      <c r="N12" s="12" t="s">
        <v>211</v>
      </c>
      <c r="O12" s="12" t="s">
        <v>211</v>
      </c>
      <c r="P12" s="12" t="s">
        <v>211</v>
      </c>
      <c r="Q12" s="12" t="s">
        <v>211</v>
      </c>
    </row>
    <row r="13" spans="2:22" ht="37.5" customHeight="1" thickTop="1" thickBot="1" x14ac:dyDescent="0.3">
      <c r="B13" s="12" t="s">
        <v>200</v>
      </c>
      <c r="C13" s="12" t="s">
        <v>200</v>
      </c>
      <c r="D13" s="12" t="s">
        <v>211</v>
      </c>
      <c r="E13" s="12" t="s">
        <v>200</v>
      </c>
      <c r="F13" s="11" t="str">
        <f>Workbench!E11</f>
        <v>Wooden Axe</v>
      </c>
      <c r="G13" s="11" t="str">
        <f>Workbench!F11</f>
        <v>Wooden Shovel</v>
      </c>
      <c r="H13" s="11" t="str">
        <f>Workbench!G11</f>
        <v>Wood</v>
      </c>
      <c r="I13" s="11" t="str">
        <f>Workbench!H11</f>
        <v>Dirt</v>
      </c>
      <c r="J13" s="13">
        <f>Workbench!I11</f>
        <v>0</v>
      </c>
      <c r="K13" s="11">
        <f>Workbench!J11</f>
        <v>0</v>
      </c>
      <c r="L13" s="11">
        <f>Workbench!K11</f>
        <v>0</v>
      </c>
      <c r="M13" s="11" t="e">
        <f>Workbench!L11</f>
        <v>#N/A</v>
      </c>
      <c r="N13" s="11" t="e">
        <f>Workbench!M11</f>
        <v>#REF!</v>
      </c>
      <c r="O13" s="12" t="s">
        <v>211</v>
      </c>
      <c r="P13" s="12" t="s">
        <v>211</v>
      </c>
      <c r="Q13" s="12" t="s">
        <v>211</v>
      </c>
    </row>
    <row r="14" spans="2:22" ht="15.75" thickTop="1" x14ac:dyDescent="0.25">
      <c r="T14" t="s">
        <v>230</v>
      </c>
      <c r="V14" t="s">
        <v>231</v>
      </c>
    </row>
    <row r="33" spans="2:12" x14ac:dyDescent="0.25">
      <c r="B33" t="s">
        <v>225</v>
      </c>
    </row>
    <row r="34" spans="2:12" x14ac:dyDescent="0.25">
      <c r="B34" t="s">
        <v>220</v>
      </c>
      <c r="C34">
        <v>10</v>
      </c>
      <c r="D34">
        <v>10</v>
      </c>
      <c r="E34">
        <v>10</v>
      </c>
      <c r="F34">
        <v>10</v>
      </c>
      <c r="G34">
        <v>9</v>
      </c>
      <c r="H34">
        <v>6</v>
      </c>
      <c r="I34">
        <v>7</v>
      </c>
      <c r="J34">
        <v>8</v>
      </c>
      <c r="K34">
        <v>9</v>
      </c>
      <c r="L34">
        <v>10</v>
      </c>
    </row>
    <row r="35" spans="2:12" x14ac:dyDescent="0.25">
      <c r="B35" t="s">
        <v>221</v>
      </c>
      <c r="C35">
        <v>0</v>
      </c>
      <c r="D35">
        <v>0</v>
      </c>
      <c r="E35">
        <v>0</v>
      </c>
      <c r="F35">
        <v>2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</row>
    <row r="36" spans="2:12" x14ac:dyDescent="0.25">
      <c r="B36" t="s">
        <v>226</v>
      </c>
      <c r="C36">
        <v>10</v>
      </c>
      <c r="D36">
        <v>9</v>
      </c>
      <c r="E36">
        <v>8</v>
      </c>
      <c r="F36">
        <v>10</v>
      </c>
      <c r="G36">
        <v>9</v>
      </c>
      <c r="H36">
        <v>8</v>
      </c>
      <c r="I36">
        <v>10</v>
      </c>
      <c r="J36">
        <v>9</v>
      </c>
      <c r="K36">
        <v>9</v>
      </c>
      <c r="L36">
        <v>10</v>
      </c>
    </row>
    <row r="37" spans="2:12" x14ac:dyDescent="0.25">
      <c r="B37" t="s">
        <v>222</v>
      </c>
      <c r="C37">
        <v>0</v>
      </c>
      <c r="D37">
        <v>1</v>
      </c>
      <c r="E37">
        <v>4</v>
      </c>
      <c r="F37">
        <v>5</v>
      </c>
      <c r="G37">
        <v>7</v>
      </c>
      <c r="H37">
        <v>13</v>
      </c>
      <c r="I37">
        <v>19</v>
      </c>
      <c r="J37">
        <v>19</v>
      </c>
      <c r="K37">
        <v>19</v>
      </c>
      <c r="L37">
        <v>23</v>
      </c>
    </row>
  </sheetData>
  <conditionalFormatting sqref="B13:E13 O13:Q13 T4:T7 B2:Q12">
    <cfRule type="cellIs" dxfId="20" priority="9" operator="equal">
      <formula>"Stone"</formula>
    </cfRule>
    <cfRule type="cellIs" dxfId="19" priority="10" operator="equal">
      <formula>"leaves"</formula>
    </cfRule>
    <cfRule type="cellIs" dxfId="18" priority="11" operator="equal">
      <formula>"wood"</formula>
    </cfRule>
    <cfRule type="cellIs" dxfId="17" priority="12" operator="equal">
      <formula>"sky"</formula>
    </cfRule>
    <cfRule type="cellIs" dxfId="16" priority="13" operator="equal">
      <formula>"dirt"</formula>
    </cfRule>
    <cfRule type="cellIs" dxfId="15" priority="14" operator="equal">
      <formula>"grassdirt"</formula>
    </cfRule>
  </conditionalFormatting>
  <conditionalFormatting sqref="T3">
    <cfRule type="cellIs" dxfId="14" priority="3" operator="equal">
      <formula>"Stone"</formula>
    </cfRule>
    <cfRule type="cellIs" dxfId="13" priority="4" operator="equal">
      <formula>"leaves"</formula>
    </cfRule>
    <cfRule type="cellIs" dxfId="12" priority="5" operator="equal">
      <formula>"wood"</formula>
    </cfRule>
    <cfRule type="cellIs" dxfId="11" priority="6" operator="equal">
      <formula>"sky"</formula>
    </cfRule>
    <cfRule type="cellIs" dxfId="10" priority="7" operator="equal">
      <formula>"dirt"</formula>
    </cfRule>
    <cfRule type="cellIs" dxfId="9" priority="8" operator="equal">
      <formula>"grassdirt"</formula>
    </cfRule>
  </conditionalFormatting>
  <conditionalFormatting sqref="V14">
    <cfRule type="cellIs" dxfId="8" priority="1" operator="equal">
      <formula>"Enabled"</formula>
    </cfRule>
    <cfRule type="cellIs" dxfId="7" priority="2" operator="equal">
      <formula>"Disabled"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nableWASD">
                <anchor moveWithCells="1" sizeWithCells="1">
                  <from>
                    <xdr:col>19</xdr:col>
                    <xdr:colOff>38100</xdr:colOff>
                    <xdr:row>11</xdr:row>
                    <xdr:rowOff>38100</xdr:rowOff>
                  </from>
                  <to>
                    <xdr:col>20</xdr:col>
                    <xdr:colOff>723900</xdr:colOff>
                    <xdr:row>11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isableWASD">
                <anchor moveWithCells="1" sizeWithCells="1">
                  <from>
                    <xdr:col>19</xdr:col>
                    <xdr:colOff>38100</xdr:colOff>
                    <xdr:row>11</xdr:row>
                    <xdr:rowOff>466725</xdr:rowOff>
                  </from>
                  <to>
                    <xdr:col>20</xdr:col>
                    <xdr:colOff>723900</xdr:colOff>
                    <xdr:row>12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05C60535-1F16-4fd2-B633-F4F36F0B64E0}">
      <x14:sparklineGroups xmlns:xm="http://schemas.microsoft.com/office/excel/2006/main">
        <x14:sparklineGroup manualMin="0" displayEmptyCellsAs="gap" high="1" low="1" minAxisType="custom">
          <x14:colorSeries rgb="FF376092"/>
          <x14:colorNegative rgb="FFD00000"/>
          <x14:colorAxis rgb="FF000000"/>
          <x14:colorMarkers theme="9" tint="-0.249977111117893"/>
          <x14:colorFirst rgb="FFD00000"/>
          <x14:colorLast rgb="FFD00000"/>
          <x14:colorHigh rgb="FF00B050"/>
          <x14:colorLow rgb="FFFF0000"/>
          <x14:sparklines>
            <x14:sparkline>
              <xm:f>Game!C34:L34</xm:f>
              <xm:sqref>V4</xm:sqref>
            </x14:sparkline>
            <x14:sparkline>
              <xm:f>Game!C35:L35</xm:f>
              <xm:sqref>V5</xm:sqref>
            </x14:sparkline>
            <x14:sparkline>
              <xm:f>Game!C36:L36</xm:f>
              <xm:sqref>V6</xm:sqref>
            </x14:sparkline>
            <x14:sparkline>
              <xm:f>Game!C37:L37</xm:f>
              <xm:sqref>V7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0"/>
  <sheetViews>
    <sheetView workbookViewId="0">
      <selection activeCell="H3" sqref="H3"/>
    </sheetView>
  </sheetViews>
  <sheetFormatPr defaultRowHeight="15" x14ac:dyDescent="0.25"/>
  <cols>
    <col min="1" max="1" width="13.7109375" customWidth="1"/>
    <col min="2" max="2" width="11.140625" customWidth="1"/>
    <col min="3" max="3" width="12.28515625" customWidth="1"/>
    <col min="4" max="4" width="13.7109375" customWidth="1"/>
    <col min="8" max="8" width="36" customWidth="1"/>
    <col min="9" max="9" width="17.7109375" customWidth="1"/>
    <col min="10" max="10" width="10.7109375" bestFit="1" customWidth="1"/>
    <col min="11" max="11" width="12.85546875" customWidth="1"/>
    <col min="13" max="13" width="13.28515625" customWidth="1"/>
    <col min="15" max="15" width="27.5703125" customWidth="1"/>
  </cols>
  <sheetData>
    <row r="1" spans="1:15" ht="34.5" thickBot="1" x14ac:dyDescent="0.55000000000000004">
      <c r="A1" s="16" t="s">
        <v>1</v>
      </c>
    </row>
    <row r="2" spans="1:15" ht="15.75" thickTop="1" x14ac:dyDescent="0.25">
      <c r="A2" s="6" t="s">
        <v>178</v>
      </c>
      <c r="B2" t="s">
        <v>183</v>
      </c>
      <c r="C2" t="s">
        <v>184</v>
      </c>
      <c r="D2" t="s">
        <v>187</v>
      </c>
      <c r="H2" t="s">
        <v>2</v>
      </c>
      <c r="I2" t="s">
        <v>3</v>
      </c>
      <c r="J2" t="s">
        <v>4</v>
      </c>
      <c r="K2" t="s">
        <v>5</v>
      </c>
      <c r="L2" t="s">
        <v>7</v>
      </c>
      <c r="M2" t="s">
        <v>6</v>
      </c>
      <c r="N2" t="s">
        <v>8</v>
      </c>
      <c r="O2" t="s">
        <v>177</v>
      </c>
    </row>
    <row r="3" spans="1:15" x14ac:dyDescent="0.25">
      <c r="A3" s="7" t="s">
        <v>179</v>
      </c>
      <c r="B3" s="8">
        <v>4601.1000000000004</v>
      </c>
      <c r="C3" s="8">
        <v>1083.5500000000002</v>
      </c>
      <c r="D3" s="8">
        <v>11.074074074074074</v>
      </c>
      <c r="H3" t="s">
        <v>9</v>
      </c>
      <c r="I3" t="str">
        <f ca="1">CONCATENATE(RANDBETWEEN(10000,99999),"-",RANDBETWEEN(10,99),UPPER(MID(Table1[[#This Row],[Asset]],2,2)))</f>
        <v>95373-41AD</v>
      </c>
      <c r="J3" s="2">
        <f t="shared" ref="J3:J34" ca="1" si="0">RANDBETWEEN(41600,41840)</f>
        <v>41736</v>
      </c>
      <c r="K3" s="3">
        <f t="shared" ref="K3:K34" ca="1" si="1">RANDBETWEEN(1000,15000)/100</f>
        <v>52.57</v>
      </c>
      <c r="L3" s="4">
        <f t="shared" ref="L3:L34" ca="1" si="2">RANDBETWEEN(-5000,8000)/100</f>
        <v>-40.97</v>
      </c>
      <c r="M3" s="5" t="str">
        <f t="shared" ref="M3:M34" ca="1" si="3">IF(RAND()&gt;0.5,"Yes","No")</f>
        <v>Yes</v>
      </c>
      <c r="N3">
        <f t="shared" ref="N3:N34" ca="1" si="4">RANDBETWEEN(1,20)</f>
        <v>14</v>
      </c>
      <c r="O3" t="str">
        <f t="shared" ref="O3:O34" ca="1" si="5">IF(RAND()&gt;0.5,"Mining",IF(RAND()&gt;0.4,"Crafting","Minecrafting"))</f>
        <v>Crafting</v>
      </c>
    </row>
    <row r="4" spans="1:15" x14ac:dyDescent="0.25">
      <c r="A4" s="9" t="s">
        <v>185</v>
      </c>
      <c r="B4" s="8">
        <v>2020.1100000000004</v>
      </c>
      <c r="C4" s="8">
        <v>565.25</v>
      </c>
      <c r="D4" s="8">
        <v>11.846153846153847</v>
      </c>
      <c r="H4" t="s">
        <v>10</v>
      </c>
      <c r="I4" t="str">
        <f ca="1">CONCATENATE(RANDBETWEEN(10000,99999),"-",RANDBETWEEN(10,99),UPPER(MID(Table1[[#This Row],[Asset]],2,2)))</f>
        <v>19250-73AI</v>
      </c>
      <c r="J4" s="2">
        <f t="shared" ca="1" si="0"/>
        <v>41762</v>
      </c>
      <c r="K4" s="3">
        <f t="shared" ca="1" si="1"/>
        <v>59.38</v>
      </c>
      <c r="L4" s="4">
        <f t="shared" ca="1" si="2"/>
        <v>18.309999999999999</v>
      </c>
      <c r="M4" s="5" t="str">
        <f t="shared" ca="1" si="3"/>
        <v>No</v>
      </c>
      <c r="N4">
        <f t="shared" ca="1" si="4"/>
        <v>18</v>
      </c>
      <c r="O4" t="str">
        <f t="shared" ca="1" si="5"/>
        <v>Mining</v>
      </c>
    </row>
    <row r="5" spans="1:15" x14ac:dyDescent="0.25">
      <c r="A5" s="9" t="s">
        <v>186</v>
      </c>
      <c r="B5" s="8">
        <v>2580.9900000000002</v>
      </c>
      <c r="C5" s="8">
        <v>518.30000000000007</v>
      </c>
      <c r="D5" s="8">
        <v>10.357142857142858</v>
      </c>
      <c r="H5" t="s">
        <v>11</v>
      </c>
      <c r="I5" t="str">
        <f ca="1">CONCATENATE(RANDBETWEEN(10000,99999),"-",RANDBETWEEN(10,99),UPPER(MID(Table1[[#This Row],[Asset]],2,2)))</f>
        <v>70003-58OB</v>
      </c>
      <c r="J5" s="2">
        <f t="shared" ca="1" si="0"/>
        <v>41703</v>
      </c>
      <c r="K5" s="3">
        <f t="shared" ca="1" si="1"/>
        <v>139.24</v>
      </c>
      <c r="L5" s="4">
        <f t="shared" ca="1" si="2"/>
        <v>-27.62</v>
      </c>
      <c r="M5" s="5" t="str">
        <f t="shared" ca="1" si="3"/>
        <v>Yes</v>
      </c>
      <c r="N5">
        <f t="shared" ca="1" si="4"/>
        <v>17</v>
      </c>
      <c r="O5" t="str">
        <f t="shared" ca="1" si="5"/>
        <v>Mining</v>
      </c>
    </row>
    <row r="6" spans="1:15" x14ac:dyDescent="0.25">
      <c r="A6" s="7" t="s">
        <v>180</v>
      </c>
      <c r="B6" s="8">
        <v>2321.0300000000007</v>
      </c>
      <c r="C6" s="8">
        <v>291.71000000000004</v>
      </c>
      <c r="D6" s="8">
        <v>9.6785714285714288</v>
      </c>
      <c r="H6" t="s">
        <v>12</v>
      </c>
      <c r="I6" t="str">
        <f ca="1">CONCATENATE(RANDBETWEEN(10000,99999),"-",RANDBETWEEN(10,99),UPPER(MID(Table1[[#This Row],[Asset]],2,2)))</f>
        <v>20781-18AL</v>
      </c>
      <c r="J6" s="2">
        <f t="shared" ca="1" si="0"/>
        <v>41768</v>
      </c>
      <c r="K6" s="3">
        <f t="shared" ca="1" si="1"/>
        <v>138.69999999999999</v>
      </c>
      <c r="L6" s="4">
        <f t="shared" ca="1" si="2"/>
        <v>-13.09</v>
      </c>
      <c r="M6" s="5" t="str">
        <f t="shared" ca="1" si="3"/>
        <v>Yes</v>
      </c>
      <c r="N6">
        <f t="shared" ca="1" si="4"/>
        <v>13</v>
      </c>
      <c r="O6" t="str">
        <f t="shared" ca="1" si="5"/>
        <v>Crafting</v>
      </c>
    </row>
    <row r="7" spans="1:15" x14ac:dyDescent="0.25">
      <c r="A7" s="9" t="s">
        <v>185</v>
      </c>
      <c r="B7" s="8">
        <v>1171.7800000000002</v>
      </c>
      <c r="C7" s="8">
        <v>319.70999999999998</v>
      </c>
      <c r="D7" s="8">
        <v>9.5333333333333332</v>
      </c>
      <c r="H7" t="s">
        <v>13</v>
      </c>
      <c r="I7" t="str">
        <f ca="1">CONCATENATE(RANDBETWEEN(10000,99999),"-",RANDBETWEEN(10,99),UPPER(MID(Table1[[#This Row],[Asset]],2,2)))</f>
        <v>79484-79EV</v>
      </c>
      <c r="J7" s="2">
        <f t="shared" ca="1" si="0"/>
        <v>41601</v>
      </c>
      <c r="K7" s="3">
        <f t="shared" ca="1" si="1"/>
        <v>145.38</v>
      </c>
      <c r="L7" s="4">
        <f t="shared" ca="1" si="2"/>
        <v>63.09</v>
      </c>
      <c r="M7" s="5" t="str">
        <f t="shared" ca="1" si="3"/>
        <v>No</v>
      </c>
      <c r="N7">
        <f t="shared" ca="1" si="4"/>
        <v>6</v>
      </c>
      <c r="O7" t="str">
        <f t="shared" ca="1" si="5"/>
        <v>Mining</v>
      </c>
    </row>
    <row r="8" spans="1:15" x14ac:dyDescent="0.25">
      <c r="A8" s="9" t="s">
        <v>186</v>
      </c>
      <c r="B8" s="8">
        <v>1149.2499999999998</v>
      </c>
      <c r="C8" s="8">
        <v>-28.000000000000028</v>
      </c>
      <c r="D8" s="8">
        <v>9.8461538461538467</v>
      </c>
      <c r="H8" t="s">
        <v>14</v>
      </c>
      <c r="I8" t="str">
        <f ca="1">CONCATENATE(RANDBETWEEN(10000,99999),"-",RANDBETWEEN(10,99),UPPER(MID(Table1[[#This Row],[Asset]],2,2)))</f>
        <v>98936-82TO</v>
      </c>
      <c r="J8" s="2">
        <f t="shared" ca="1" si="0"/>
        <v>41715</v>
      </c>
      <c r="K8" s="3">
        <f t="shared" ca="1" si="1"/>
        <v>81.84</v>
      </c>
      <c r="L8" s="4">
        <f t="shared" ca="1" si="2"/>
        <v>9.2200000000000006</v>
      </c>
      <c r="M8" s="5" t="str">
        <f t="shared" ca="1" si="3"/>
        <v>No</v>
      </c>
      <c r="N8">
        <f t="shared" ca="1" si="4"/>
        <v>8</v>
      </c>
      <c r="O8" t="str">
        <f t="shared" ca="1" si="5"/>
        <v>Mining</v>
      </c>
    </row>
    <row r="9" spans="1:15" x14ac:dyDescent="0.25">
      <c r="A9" s="7" t="s">
        <v>181</v>
      </c>
      <c r="B9" s="8">
        <v>6692.9999999999982</v>
      </c>
      <c r="C9" s="8">
        <v>1854.0400000000004</v>
      </c>
      <c r="D9" s="8">
        <v>10.523255813953488</v>
      </c>
      <c r="H9" t="s">
        <v>15</v>
      </c>
      <c r="I9" t="str">
        <f ca="1">CONCATENATE(RANDBETWEEN(10000,99999),"-",RANDBETWEEN(10,99),UPPER(MID(Table1[[#This Row],[Asset]],2,2)))</f>
        <v>13038-12RO</v>
      </c>
      <c r="J9" s="2">
        <f t="shared" ca="1" si="0"/>
        <v>41655</v>
      </c>
      <c r="K9" s="3">
        <f t="shared" ca="1" si="1"/>
        <v>122.4</v>
      </c>
      <c r="L9" s="4">
        <f t="shared" ca="1" si="2"/>
        <v>26.62</v>
      </c>
      <c r="M9" s="5" t="str">
        <f t="shared" ca="1" si="3"/>
        <v>Yes</v>
      </c>
      <c r="N9">
        <f t="shared" ca="1" si="4"/>
        <v>7</v>
      </c>
      <c r="O9" t="str">
        <f t="shared" ca="1" si="5"/>
        <v>Minecrafting</v>
      </c>
    </row>
    <row r="10" spans="1:15" x14ac:dyDescent="0.25">
      <c r="A10" s="9" t="s">
        <v>185</v>
      </c>
      <c r="B10" s="8">
        <v>2753.21</v>
      </c>
      <c r="C10" s="8">
        <v>641.61999999999978</v>
      </c>
      <c r="D10" s="8">
        <v>9.2972972972972965</v>
      </c>
      <c r="H10" t="s">
        <v>16</v>
      </c>
      <c r="I10" t="str">
        <f ca="1">CONCATENATE(RANDBETWEEN(10000,99999),"-",RANDBETWEEN(10,99),UPPER(MID(Table1[[#This Row],[Asset]],2,2)))</f>
        <v>91115-41OO</v>
      </c>
      <c r="J10" s="2">
        <f t="shared" ca="1" si="0"/>
        <v>41685</v>
      </c>
      <c r="K10" s="3">
        <f t="shared" ca="1" si="1"/>
        <v>34.11</v>
      </c>
      <c r="L10" s="4">
        <f t="shared" ca="1" si="2"/>
        <v>26.05</v>
      </c>
      <c r="M10" s="5" t="str">
        <f t="shared" ca="1" si="3"/>
        <v>Yes</v>
      </c>
      <c r="N10">
        <f t="shared" ca="1" si="4"/>
        <v>14</v>
      </c>
      <c r="O10" t="str">
        <f t="shared" ca="1" si="5"/>
        <v>Mining</v>
      </c>
    </row>
    <row r="11" spans="1:15" x14ac:dyDescent="0.25">
      <c r="A11" s="9" t="s">
        <v>186</v>
      </c>
      <c r="B11" s="8">
        <v>3939.7900000000013</v>
      </c>
      <c r="C11" s="8">
        <v>1212.42</v>
      </c>
      <c r="D11" s="8">
        <v>11.448979591836734</v>
      </c>
      <c r="H11" t="s">
        <v>17</v>
      </c>
      <c r="I11" t="str">
        <f ca="1">CONCATENATE(RANDBETWEEN(10000,99999),"-",RANDBETWEEN(10,99),UPPER(MID(Table1[[#This Row],[Asset]],2,2)))</f>
        <v>27304-49ED</v>
      </c>
      <c r="J11" s="2">
        <f t="shared" ca="1" si="0"/>
        <v>41709</v>
      </c>
      <c r="K11" s="3">
        <f t="shared" ca="1" si="1"/>
        <v>116.17</v>
      </c>
      <c r="L11" s="4">
        <f t="shared" ca="1" si="2"/>
        <v>33.57</v>
      </c>
      <c r="M11" s="5" t="str">
        <f t="shared" ca="1" si="3"/>
        <v>No</v>
      </c>
      <c r="N11">
        <f t="shared" ca="1" si="4"/>
        <v>12</v>
      </c>
      <c r="O11" t="str">
        <f t="shared" ca="1" si="5"/>
        <v>Mining</v>
      </c>
    </row>
    <row r="12" spans="1:15" x14ac:dyDescent="0.25">
      <c r="A12" s="7" t="s">
        <v>182</v>
      </c>
      <c r="B12" s="8">
        <v>13615.130000000006</v>
      </c>
      <c r="C12" s="8">
        <v>3229.3</v>
      </c>
      <c r="D12" s="8">
        <v>10.55952380952381</v>
      </c>
      <c r="H12" t="s">
        <v>18</v>
      </c>
      <c r="I12" t="str">
        <f ca="1">CONCATENATE(RANDBETWEEN(10000,99999),"-",RANDBETWEEN(10,99),UPPER(MID(Table1[[#This Row],[Asset]],2,2)))</f>
        <v>56900-38LO</v>
      </c>
      <c r="J12" s="2">
        <f t="shared" ca="1" si="0"/>
        <v>41747</v>
      </c>
      <c r="K12" s="3">
        <f t="shared" ca="1" si="1"/>
        <v>132.35</v>
      </c>
      <c r="L12" s="4">
        <f t="shared" ca="1" si="2"/>
        <v>20.29</v>
      </c>
      <c r="M12" s="5" t="str">
        <f t="shared" ca="1" si="3"/>
        <v>Yes</v>
      </c>
      <c r="N12">
        <f t="shared" ca="1" si="4"/>
        <v>7</v>
      </c>
      <c r="O12" t="str">
        <f t="shared" ca="1" si="5"/>
        <v>Mining</v>
      </c>
    </row>
    <row r="13" spans="1:15" x14ac:dyDescent="0.25">
      <c r="H13" t="s">
        <v>19</v>
      </c>
      <c r="I13" t="str">
        <f ca="1">CONCATENATE(RANDBETWEEN(10000,99999),"-",RANDBETWEEN(10,99),UPPER(MID(Table1[[#This Row],[Asset]],2,2)))</f>
        <v>65423-43ED</v>
      </c>
      <c r="J13" s="2">
        <f t="shared" ca="1" si="0"/>
        <v>41744</v>
      </c>
      <c r="K13" s="3">
        <f t="shared" ca="1" si="1"/>
        <v>70.13</v>
      </c>
      <c r="L13" s="4">
        <f t="shared" ca="1" si="2"/>
        <v>-43.76</v>
      </c>
      <c r="M13" s="5" t="str">
        <f t="shared" ca="1" si="3"/>
        <v>Yes</v>
      </c>
      <c r="N13">
        <f t="shared" ca="1" si="4"/>
        <v>6</v>
      </c>
      <c r="O13" t="str">
        <f t="shared" ca="1" si="5"/>
        <v>Mining</v>
      </c>
    </row>
    <row r="14" spans="1:15" x14ac:dyDescent="0.25">
      <c r="H14" t="s">
        <v>20</v>
      </c>
      <c r="I14" t="str">
        <f ca="1">CONCATENATE(RANDBETWEEN(10000,99999),"-",RANDBETWEEN(10,99),UPPER(MID(Table1[[#This Row],[Asset]],2,2)))</f>
        <v>83394-20ED</v>
      </c>
      <c r="J14" s="2">
        <f t="shared" ca="1" si="0"/>
        <v>41731</v>
      </c>
      <c r="K14" s="3">
        <f t="shared" ca="1" si="1"/>
        <v>100.32</v>
      </c>
      <c r="L14" s="4">
        <f t="shared" ca="1" si="2"/>
        <v>-38.39</v>
      </c>
      <c r="M14" s="5" t="str">
        <f t="shared" ca="1" si="3"/>
        <v>No</v>
      </c>
      <c r="N14">
        <f t="shared" ca="1" si="4"/>
        <v>9</v>
      </c>
      <c r="O14" t="str">
        <f t="shared" ca="1" si="5"/>
        <v>Mining</v>
      </c>
    </row>
    <row r="15" spans="1:15" x14ac:dyDescent="0.25">
      <c r="H15" t="s">
        <v>21</v>
      </c>
      <c r="I15" t="str">
        <f ca="1">CONCATENATE(RANDBETWEEN(10000,99999),"-",RANDBETWEEN(10,99),UPPER(MID(Table1[[#This Row],[Asset]],2,2)))</f>
        <v>52912-80TO</v>
      </c>
      <c r="J15" s="2">
        <f t="shared" ca="1" si="0"/>
        <v>41746</v>
      </c>
      <c r="K15" s="3">
        <f t="shared" ca="1" si="1"/>
        <v>19.579999999999998</v>
      </c>
      <c r="L15" s="4">
        <f t="shared" ca="1" si="2"/>
        <v>-14.24</v>
      </c>
      <c r="M15" s="5" t="str">
        <f t="shared" ca="1" si="3"/>
        <v>Yes</v>
      </c>
      <c r="N15">
        <f t="shared" ca="1" si="4"/>
        <v>4</v>
      </c>
      <c r="O15" t="str">
        <f t="shared" ca="1" si="5"/>
        <v>Minecrafting</v>
      </c>
    </row>
    <row r="16" spans="1:15" x14ac:dyDescent="0.25">
      <c r="H16" t="s">
        <v>22</v>
      </c>
      <c r="I16" t="str">
        <f ca="1">CONCATENATE(RANDBETWEEN(10000,99999),"-",RANDBETWEEN(10,99),UPPER(MID(Table1[[#This Row],[Asset]],2,2)))</f>
        <v>71820-10NO</v>
      </c>
      <c r="J16" s="2">
        <f t="shared" ca="1" si="0"/>
        <v>41701</v>
      </c>
      <c r="K16" s="3">
        <f t="shared" ca="1" si="1"/>
        <v>29.98</v>
      </c>
      <c r="L16" s="4">
        <f t="shared" ca="1" si="2"/>
        <v>-2.17</v>
      </c>
      <c r="M16" s="5" t="str">
        <f t="shared" ca="1" si="3"/>
        <v>Yes</v>
      </c>
      <c r="N16">
        <f t="shared" ca="1" si="4"/>
        <v>10</v>
      </c>
      <c r="O16" t="str">
        <f t="shared" ca="1" si="5"/>
        <v>Mining</v>
      </c>
    </row>
    <row r="17" spans="8:15" x14ac:dyDescent="0.25">
      <c r="H17" t="s">
        <v>23</v>
      </c>
      <c r="I17" t="str">
        <f ca="1">CONCATENATE(RANDBETWEEN(10000,99999),"-",RANDBETWEEN(10,99),UPPER(MID(Table1[[#This Row],[Asset]],2,2)))</f>
        <v>50615-94CE</v>
      </c>
      <c r="J17" s="2">
        <f t="shared" ca="1" si="0"/>
        <v>41777</v>
      </c>
      <c r="K17" s="3">
        <f t="shared" ca="1" si="1"/>
        <v>67.81</v>
      </c>
      <c r="L17" s="4">
        <f t="shared" ca="1" si="2"/>
        <v>26.13</v>
      </c>
      <c r="M17" s="5" t="str">
        <f t="shared" ca="1" si="3"/>
        <v>No</v>
      </c>
      <c r="N17">
        <f t="shared" ca="1" si="4"/>
        <v>14</v>
      </c>
      <c r="O17" t="str">
        <f t="shared" ca="1" si="5"/>
        <v>Minecrafting</v>
      </c>
    </row>
    <row r="18" spans="8:15" x14ac:dyDescent="0.25">
      <c r="H18" t="s">
        <v>24</v>
      </c>
      <c r="I18" t="str">
        <f ca="1">CONCATENATE(RANDBETWEEN(10000,99999),"-",RANDBETWEEN(10,99),UPPER(MID(Table1[[#This Row],[Asset]],2,2)))</f>
        <v>46979-81NO</v>
      </c>
      <c r="J18" s="2">
        <f t="shared" ca="1" si="0"/>
        <v>41658</v>
      </c>
      <c r="K18" s="3">
        <f t="shared" ca="1" si="1"/>
        <v>41.95</v>
      </c>
      <c r="L18" s="4">
        <f t="shared" ca="1" si="2"/>
        <v>-32.32</v>
      </c>
      <c r="M18" s="5" t="str">
        <f t="shared" ca="1" si="3"/>
        <v>No</v>
      </c>
      <c r="N18">
        <f t="shared" ca="1" si="4"/>
        <v>7</v>
      </c>
      <c r="O18" t="str">
        <f t="shared" ca="1" si="5"/>
        <v>Minecrafting</v>
      </c>
    </row>
    <row r="19" spans="8:15" x14ac:dyDescent="0.25">
      <c r="H19" t="s">
        <v>25</v>
      </c>
      <c r="I19" t="str">
        <f ca="1">CONCATENATE(RANDBETWEEN(10000,99999),"-",RANDBETWEEN(10,99),UPPER(MID(Table1[[#This Row],[Asset]],2,2)))</f>
        <v>60276-25AC</v>
      </c>
      <c r="J19" s="2">
        <f t="shared" ca="1" si="0"/>
        <v>41833</v>
      </c>
      <c r="K19" s="3">
        <f t="shared" ca="1" si="1"/>
        <v>69.260000000000005</v>
      </c>
      <c r="L19" s="4">
        <f t="shared" ca="1" si="2"/>
        <v>1.7</v>
      </c>
      <c r="M19" s="5" t="str">
        <f t="shared" ca="1" si="3"/>
        <v>No</v>
      </c>
      <c r="N19">
        <f t="shared" ca="1" si="4"/>
        <v>3</v>
      </c>
      <c r="O19" t="str">
        <f t="shared" ca="1" si="5"/>
        <v>Minecrafting</v>
      </c>
    </row>
    <row r="20" spans="8:15" x14ac:dyDescent="0.25">
      <c r="H20" t="s">
        <v>26</v>
      </c>
      <c r="I20" t="str">
        <f ca="1">CONCATENATE(RANDBETWEEN(10000,99999),"-",RANDBETWEEN(10,99),UPPER(MID(Table1[[#This Row],[Asset]],2,2)))</f>
        <v>86438-69LA</v>
      </c>
      <c r="J20" s="2">
        <f t="shared" ca="1" si="0"/>
        <v>41770</v>
      </c>
      <c r="K20" s="3">
        <f t="shared" ca="1" si="1"/>
        <v>85.57</v>
      </c>
      <c r="L20" s="4">
        <f t="shared" ca="1" si="2"/>
        <v>38.83</v>
      </c>
      <c r="M20" s="5" t="str">
        <f t="shared" ca="1" si="3"/>
        <v>No</v>
      </c>
      <c r="N20">
        <f t="shared" ca="1" si="4"/>
        <v>16</v>
      </c>
      <c r="O20" t="str">
        <f t="shared" ca="1" si="5"/>
        <v>Crafting</v>
      </c>
    </row>
    <row r="21" spans="8:15" x14ac:dyDescent="0.25">
      <c r="H21" t="s">
        <v>27</v>
      </c>
      <c r="I21" t="str">
        <f ca="1">CONCATENATE(RANDBETWEEN(10000,99999),"-",RANDBETWEEN(10,99),UPPER(MID(Table1[[#This Row],[Asset]],2,2)))</f>
        <v>89921-43UG</v>
      </c>
      <c r="J21" s="2">
        <f t="shared" ca="1" si="0"/>
        <v>41768</v>
      </c>
      <c r="K21" s="3">
        <f t="shared" ca="1" si="1"/>
        <v>88.54</v>
      </c>
      <c r="L21" s="4">
        <f t="shared" ca="1" si="2"/>
        <v>-31.87</v>
      </c>
      <c r="M21" s="5" t="str">
        <f t="shared" ca="1" si="3"/>
        <v>No</v>
      </c>
      <c r="N21">
        <f t="shared" ca="1" si="4"/>
        <v>18</v>
      </c>
      <c r="O21" t="str">
        <f t="shared" ca="1" si="5"/>
        <v>Mining</v>
      </c>
    </row>
    <row r="22" spans="8:15" x14ac:dyDescent="0.25">
      <c r="H22" t="s">
        <v>28</v>
      </c>
      <c r="I22" t="str">
        <f ca="1">CONCATENATE(RANDBETWEEN(10000,99999),"-",RANDBETWEEN(10,99),UPPER(MID(Table1[[#This Row],[Asset]],2,2)))</f>
        <v>72303-71UK</v>
      </c>
      <c r="J22" s="2">
        <f t="shared" ca="1" si="0"/>
        <v>41704</v>
      </c>
      <c r="K22" s="3">
        <f t="shared" ca="1" si="1"/>
        <v>113.98</v>
      </c>
      <c r="L22" s="4">
        <f t="shared" ca="1" si="2"/>
        <v>42.28</v>
      </c>
      <c r="M22" s="5" t="str">
        <f t="shared" ca="1" si="3"/>
        <v>Yes</v>
      </c>
      <c r="N22">
        <f t="shared" ca="1" si="4"/>
        <v>7</v>
      </c>
      <c r="O22" t="str">
        <f t="shared" ca="1" si="5"/>
        <v>Mining</v>
      </c>
    </row>
    <row r="23" spans="8:15" x14ac:dyDescent="0.25">
      <c r="H23" t="s">
        <v>29</v>
      </c>
      <c r="I23" t="str">
        <f ca="1">CONCATENATE(RANDBETWEEN(10000,99999),"-",RANDBETWEEN(10,99),UPPER(MID(Table1[[#This Row],[Asset]],2,2)))</f>
        <v>58523-22AK</v>
      </c>
      <c r="J23" s="2">
        <f t="shared" ca="1" si="0"/>
        <v>41631</v>
      </c>
      <c r="K23" s="3">
        <f t="shared" ca="1" si="1"/>
        <v>59.01</v>
      </c>
      <c r="L23" s="4">
        <f t="shared" ca="1" si="2"/>
        <v>-29.4</v>
      </c>
      <c r="M23" s="5" t="str">
        <f t="shared" ca="1" si="3"/>
        <v>Yes</v>
      </c>
      <c r="N23">
        <f t="shared" ca="1" si="4"/>
        <v>3</v>
      </c>
      <c r="O23" t="str">
        <f t="shared" ca="1" si="5"/>
        <v>Minecrafting</v>
      </c>
    </row>
    <row r="24" spans="8:15" x14ac:dyDescent="0.25">
      <c r="H24" t="s">
        <v>30</v>
      </c>
      <c r="I24" t="str">
        <f ca="1">CONCATENATE(RANDBETWEEN(10000,99999),"-",RANDBETWEEN(10,99),UPPER(MID(Table1[[#This Row],[Asset]],2,2)))</f>
        <v>36699-19UM</v>
      </c>
      <c r="J24" s="2">
        <f t="shared" ca="1" si="0"/>
        <v>41811</v>
      </c>
      <c r="K24" s="3">
        <f t="shared" ca="1" si="1"/>
        <v>134.22999999999999</v>
      </c>
      <c r="L24" s="4">
        <f t="shared" ca="1" si="2"/>
        <v>55.87</v>
      </c>
      <c r="M24" s="5" t="str">
        <f t="shared" ca="1" si="3"/>
        <v>Yes</v>
      </c>
      <c r="N24">
        <f t="shared" ca="1" si="4"/>
        <v>1</v>
      </c>
      <c r="O24" t="str">
        <f t="shared" ca="1" si="5"/>
        <v>Mining</v>
      </c>
    </row>
    <row r="25" spans="8:15" x14ac:dyDescent="0.25">
      <c r="H25" t="s">
        <v>31</v>
      </c>
      <c r="I25" t="str">
        <f ca="1">CONCATENATE(RANDBETWEEN(10000,99999),"-",RANDBETWEEN(10,99),UPPER(MID(Table1[[#This Row],[Asset]],2,2)))</f>
        <v>47115-62ET</v>
      </c>
      <c r="J25" s="2">
        <f t="shared" ca="1" si="0"/>
        <v>41829</v>
      </c>
      <c r="K25" s="3">
        <f t="shared" ca="1" si="1"/>
        <v>66.81</v>
      </c>
      <c r="L25" s="4">
        <f t="shared" ca="1" si="2"/>
        <v>56.54</v>
      </c>
      <c r="M25" s="5" t="str">
        <f t="shared" ca="1" si="3"/>
        <v>Yes</v>
      </c>
      <c r="N25">
        <f t="shared" ca="1" si="4"/>
        <v>3</v>
      </c>
      <c r="O25" t="str">
        <f t="shared" ca="1" si="5"/>
        <v>Mining</v>
      </c>
    </row>
    <row r="26" spans="8:15" x14ac:dyDescent="0.25">
      <c r="H26" t="s">
        <v>32</v>
      </c>
      <c r="I26" t="str">
        <f ca="1">CONCATENATE(RANDBETWEEN(10000,99999),"-",RANDBETWEEN(10,99),UPPER(MID(Table1[[#This Row],[Asset]],2,2)))</f>
        <v>33594-67OU</v>
      </c>
      <c r="J26" s="2">
        <f t="shared" ca="1" si="0"/>
        <v>41711</v>
      </c>
      <c r="K26" s="3">
        <f t="shared" ca="1" si="1"/>
        <v>54.55</v>
      </c>
      <c r="L26" s="4">
        <f t="shared" ca="1" si="2"/>
        <v>-48.51</v>
      </c>
      <c r="M26" s="5" t="str">
        <f t="shared" ca="1" si="3"/>
        <v>Yes</v>
      </c>
      <c r="N26">
        <f t="shared" ca="1" si="4"/>
        <v>18</v>
      </c>
      <c r="O26" t="str">
        <f t="shared" ca="1" si="5"/>
        <v>Minecrafting</v>
      </c>
    </row>
    <row r="27" spans="8:15" x14ac:dyDescent="0.25">
      <c r="H27" t="s">
        <v>33</v>
      </c>
      <c r="I27" t="str">
        <f ca="1">CONCATENATE(RANDBETWEEN(10000,99999),"-",RANDBETWEEN(10,99),UPPER(MID(Table1[[#This Row],[Asset]],2,2)))</f>
        <v>78379-47LO</v>
      </c>
      <c r="J27" s="2">
        <f t="shared" ca="1" si="0"/>
        <v>41777</v>
      </c>
      <c r="K27" s="3">
        <f t="shared" ca="1" si="1"/>
        <v>38.69</v>
      </c>
      <c r="L27" s="4">
        <f t="shared" ca="1" si="2"/>
        <v>-7.37</v>
      </c>
      <c r="M27" s="5" t="str">
        <f t="shared" ca="1" si="3"/>
        <v>Yes</v>
      </c>
      <c r="N27">
        <f t="shared" ca="1" si="4"/>
        <v>3</v>
      </c>
      <c r="O27" t="str">
        <f t="shared" ca="1" si="5"/>
        <v>Crafting</v>
      </c>
    </row>
    <row r="28" spans="8:15" x14ac:dyDescent="0.25">
      <c r="H28" t="s">
        <v>34</v>
      </c>
      <c r="I28" t="str">
        <f ca="1">CONCATENATE(RANDBETWEEN(10000,99999),"-",RANDBETWEEN(10,99),UPPER(MID(Table1[[#This Row],[Asset]],2,2)))</f>
        <v>96980-67ET</v>
      </c>
      <c r="J28" s="2">
        <f t="shared" ca="1" si="0"/>
        <v>41722</v>
      </c>
      <c r="K28" s="3">
        <f t="shared" ca="1" si="1"/>
        <v>116.85</v>
      </c>
      <c r="L28" s="4">
        <f t="shared" ca="1" si="2"/>
        <v>-26.22</v>
      </c>
      <c r="M28" s="5" t="str">
        <f t="shared" ca="1" si="3"/>
        <v>Yes</v>
      </c>
      <c r="N28">
        <f t="shared" ca="1" si="4"/>
        <v>6</v>
      </c>
      <c r="O28" t="str">
        <f t="shared" ca="1" si="5"/>
        <v>Mining</v>
      </c>
    </row>
    <row r="29" spans="8:15" x14ac:dyDescent="0.25">
      <c r="H29" t="s">
        <v>35</v>
      </c>
      <c r="I29" t="str">
        <f ca="1">CONCATENATE(RANDBETWEEN(10000,99999),"-",RANDBETWEEN(10,99),UPPER(MID(Table1[[#This Row],[Asset]],2,2)))</f>
        <v>31177-60AC</v>
      </c>
      <c r="J29" s="2">
        <f t="shared" ca="1" si="0"/>
        <v>41616</v>
      </c>
      <c r="K29" s="3">
        <f t="shared" ca="1" si="1"/>
        <v>25.89</v>
      </c>
      <c r="L29" s="4">
        <f t="shared" ca="1" si="2"/>
        <v>30.77</v>
      </c>
      <c r="M29" s="5" t="str">
        <f t="shared" ca="1" si="3"/>
        <v>Yes</v>
      </c>
      <c r="N29">
        <f t="shared" ca="1" si="4"/>
        <v>14</v>
      </c>
      <c r="O29" t="str">
        <f t="shared" ca="1" si="5"/>
        <v>Mining</v>
      </c>
    </row>
    <row r="30" spans="8:15" x14ac:dyDescent="0.25">
      <c r="H30" t="s">
        <v>36</v>
      </c>
      <c r="I30" t="str">
        <f ca="1">CONCATENATE(RANDBETWEEN(10000,99999),"-",RANDBETWEEN(10,99),UPPER(MID(Table1[[#This Row],[Asset]],2,2)))</f>
        <v>14011-76AK</v>
      </c>
      <c r="J30" s="2">
        <f t="shared" ca="1" si="0"/>
        <v>41689</v>
      </c>
      <c r="K30" s="3">
        <f t="shared" ca="1" si="1"/>
        <v>30.9</v>
      </c>
      <c r="L30" s="4">
        <f t="shared" ca="1" si="2"/>
        <v>21.62</v>
      </c>
      <c r="M30" s="5" t="str">
        <f t="shared" ca="1" si="3"/>
        <v>Yes</v>
      </c>
      <c r="N30">
        <f t="shared" ca="1" si="4"/>
        <v>6</v>
      </c>
      <c r="O30" t="str">
        <f t="shared" ca="1" si="5"/>
        <v>Mining</v>
      </c>
    </row>
    <row r="31" spans="8:15" x14ac:dyDescent="0.25">
      <c r="H31" t="s">
        <v>37</v>
      </c>
      <c r="I31" t="str">
        <f ca="1">CONCATENATE(RANDBETWEEN(10000,99999),"-",RANDBETWEEN(10,99),UPPER(MID(Table1[[#This Row],[Asset]],2,2)))</f>
        <v>19034-94ED</v>
      </c>
      <c r="J31" s="2">
        <f t="shared" ca="1" si="0"/>
        <v>41649</v>
      </c>
      <c r="K31" s="3">
        <f t="shared" ca="1" si="1"/>
        <v>97.02</v>
      </c>
      <c r="L31" s="4">
        <f t="shared" ca="1" si="2"/>
        <v>-4.3</v>
      </c>
      <c r="M31" s="5" t="str">
        <f t="shared" ca="1" si="3"/>
        <v>No</v>
      </c>
      <c r="N31">
        <f t="shared" ca="1" si="4"/>
        <v>17</v>
      </c>
      <c r="O31" t="str">
        <f t="shared" ca="1" si="5"/>
        <v>Crafting</v>
      </c>
    </row>
    <row r="32" spans="8:15" x14ac:dyDescent="0.25">
      <c r="H32" t="s">
        <v>38</v>
      </c>
      <c r="I32" t="str">
        <f ca="1">CONCATENATE(RANDBETWEEN(10000,99999),"-",RANDBETWEEN(10,99),UPPER(MID(Table1[[#This Row],[Asset]],2,2)))</f>
        <v>86399-76ED</v>
      </c>
      <c r="J32" s="2">
        <f t="shared" ca="1" si="0"/>
        <v>41776</v>
      </c>
      <c r="K32" s="3">
        <f t="shared" ca="1" si="1"/>
        <v>142.46</v>
      </c>
      <c r="L32" s="4">
        <f t="shared" ca="1" si="2"/>
        <v>53.22</v>
      </c>
      <c r="M32" s="5" t="str">
        <f t="shared" ca="1" si="3"/>
        <v>Yes</v>
      </c>
      <c r="N32">
        <f t="shared" ca="1" si="4"/>
        <v>5</v>
      </c>
      <c r="O32" t="str">
        <f t="shared" ca="1" si="5"/>
        <v>Mining</v>
      </c>
    </row>
    <row r="33" spans="8:15" x14ac:dyDescent="0.25">
      <c r="H33" t="s">
        <v>39</v>
      </c>
      <c r="I33" t="str">
        <f ca="1">CONCATENATE(RANDBETWEEN(10000,99999),"-",RANDBETWEEN(10,99),UPPER(MID(Table1[[#This Row],[Asset]],2,2)))</f>
        <v>88921-84HI</v>
      </c>
      <c r="J33" s="2">
        <f t="shared" ca="1" si="0"/>
        <v>41670</v>
      </c>
      <c r="K33" s="3">
        <f t="shared" ca="1" si="1"/>
        <v>93.73</v>
      </c>
      <c r="L33" s="4">
        <f t="shared" ca="1" si="2"/>
        <v>57.19</v>
      </c>
      <c r="M33" s="5" t="str">
        <f t="shared" ca="1" si="3"/>
        <v>Yes</v>
      </c>
      <c r="N33">
        <f t="shared" ca="1" si="4"/>
        <v>13</v>
      </c>
      <c r="O33" t="str">
        <f t="shared" ca="1" si="5"/>
        <v>Crafting</v>
      </c>
    </row>
    <row r="34" spans="8:15" x14ac:dyDescent="0.25">
      <c r="H34" t="s">
        <v>40</v>
      </c>
      <c r="I34" t="str">
        <f ca="1">CONCATENATE(RANDBETWEEN(10000,99999),"-",RANDBETWEEN(10,99),UPPER(MID(Table1[[#This Row],[Asset]],2,2)))</f>
        <v>24453-74RA</v>
      </c>
      <c r="J34" s="2">
        <f t="shared" ca="1" si="0"/>
        <v>41762</v>
      </c>
      <c r="K34" s="3">
        <f t="shared" ca="1" si="1"/>
        <v>84.72</v>
      </c>
      <c r="L34" s="4">
        <f t="shared" ca="1" si="2"/>
        <v>45.64</v>
      </c>
      <c r="M34" s="5" t="str">
        <f t="shared" ca="1" si="3"/>
        <v>Yes</v>
      </c>
      <c r="N34">
        <f t="shared" ca="1" si="4"/>
        <v>20</v>
      </c>
      <c r="O34" t="str">
        <f t="shared" ca="1" si="5"/>
        <v>Crafting</v>
      </c>
    </row>
    <row r="35" spans="8:15" x14ac:dyDescent="0.25">
      <c r="H35" t="s">
        <v>41</v>
      </c>
      <c r="I35" t="str">
        <f ca="1">CONCATENATE(RANDBETWEEN(10000,99999),"-",RANDBETWEEN(10,99),UPPER(MID(Table1[[#This Row],[Asset]],2,2)))</f>
        <v>92215-49AG</v>
      </c>
      <c r="J35" s="2">
        <f t="shared" ref="J35:J66" ca="1" si="6">RANDBETWEEN(41600,41840)</f>
        <v>41706</v>
      </c>
      <c r="K35" s="3">
        <f t="shared" ref="K35:K66" ca="1" si="7">RANDBETWEEN(1000,15000)/100</f>
        <v>141.56</v>
      </c>
      <c r="L35" s="4">
        <f t="shared" ref="L35:L66" ca="1" si="8">RANDBETWEEN(-5000,8000)/100</f>
        <v>19.88</v>
      </c>
      <c r="M35" s="5" t="str">
        <f t="shared" ref="M35:M66" ca="1" si="9">IF(RAND()&gt;0.5,"Yes","No")</f>
        <v>Yes</v>
      </c>
      <c r="N35">
        <f t="shared" ref="N35:N66" ca="1" si="10">RANDBETWEEN(1,20)</f>
        <v>2</v>
      </c>
      <c r="O35" t="str">
        <f t="shared" ref="O35:O66" ca="1" si="11">IF(RAND()&gt;0.5,"Mining",IF(RAND()&gt;0.4,"Crafting","Minecrafting"))</f>
        <v>Crafting</v>
      </c>
    </row>
    <row r="36" spans="8:15" x14ac:dyDescent="0.25">
      <c r="H36" t="s">
        <v>42</v>
      </c>
      <c r="I36" t="str">
        <f ca="1">CONCATENATE(RANDBETWEEN(10000,99999),"-",RANDBETWEEN(10,99),UPPER(MID(Table1[[#This Row],[Asset]],2,2)))</f>
        <v>92075-86IG</v>
      </c>
      <c r="J36" s="2">
        <f t="shared" ca="1" si="6"/>
        <v>41828</v>
      </c>
      <c r="K36" s="3">
        <f t="shared" ca="1" si="7"/>
        <v>66.540000000000006</v>
      </c>
      <c r="L36" s="4">
        <f t="shared" ca="1" si="8"/>
        <v>0.93</v>
      </c>
      <c r="M36" s="5" t="str">
        <f t="shared" ca="1" si="9"/>
        <v>No</v>
      </c>
      <c r="N36">
        <f t="shared" ca="1" si="10"/>
        <v>9</v>
      </c>
      <c r="O36" t="str">
        <f t="shared" ca="1" si="11"/>
        <v>Crafting</v>
      </c>
    </row>
    <row r="37" spans="8:15" x14ac:dyDescent="0.25">
      <c r="H37" t="s">
        <v>43</v>
      </c>
      <c r="I37" t="str">
        <f ca="1">CONCATENATE(RANDBETWEEN(10000,99999),"-",RANDBETWEEN(10,99),UPPER(MID(Table1[[#This Row],[Asset]],2,2)))</f>
        <v>48727-70EL</v>
      </c>
      <c r="J37" s="2">
        <f t="shared" ca="1" si="6"/>
        <v>41825</v>
      </c>
      <c r="K37" s="3">
        <f t="shared" ca="1" si="7"/>
        <v>55.62</v>
      </c>
      <c r="L37" s="4">
        <f t="shared" ca="1" si="8"/>
        <v>36.54</v>
      </c>
      <c r="M37" s="5" t="str">
        <f t="shared" ca="1" si="9"/>
        <v>Yes</v>
      </c>
      <c r="N37">
        <f t="shared" ca="1" si="10"/>
        <v>16</v>
      </c>
      <c r="O37" t="str">
        <f t="shared" ca="1" si="11"/>
        <v>Crafting</v>
      </c>
    </row>
    <row r="38" spans="8:15" x14ac:dyDescent="0.25">
      <c r="H38" t="s">
        <v>44</v>
      </c>
      <c r="I38" t="str">
        <f ca="1">CONCATENATE(RANDBETWEEN(10000,99999),"-",RANDBETWEEN(10,99),UPPER(MID(Table1[[#This Row],[Asset]],2,2)))</f>
        <v>59679-48IM</v>
      </c>
      <c r="J38" s="2">
        <f t="shared" ca="1" si="6"/>
        <v>41767</v>
      </c>
      <c r="K38" s="3">
        <f t="shared" ca="1" si="7"/>
        <v>56.26</v>
      </c>
      <c r="L38" s="4">
        <f t="shared" ca="1" si="8"/>
        <v>28.52</v>
      </c>
      <c r="M38" s="5" t="str">
        <f t="shared" ca="1" si="9"/>
        <v>No</v>
      </c>
      <c r="N38">
        <f t="shared" ca="1" si="10"/>
        <v>6</v>
      </c>
      <c r="O38" t="str">
        <f t="shared" ca="1" si="11"/>
        <v>Minecrafting</v>
      </c>
    </row>
    <row r="39" spans="8:15" x14ac:dyDescent="0.25">
      <c r="H39" t="s">
        <v>45</v>
      </c>
      <c r="I39" t="str">
        <f ca="1">CONCATENATE(RANDBETWEEN(10000,99999),"-",RANDBETWEEN(10,99),UPPER(MID(Table1[[#This Row],[Asset]],2,2)))</f>
        <v>66411-86IN</v>
      </c>
      <c r="J39" s="2">
        <f t="shared" ca="1" si="6"/>
        <v>41684</v>
      </c>
      <c r="K39" s="3">
        <f t="shared" ca="1" si="7"/>
        <v>143.91999999999999</v>
      </c>
      <c r="L39" s="4">
        <f t="shared" ca="1" si="8"/>
        <v>52.81</v>
      </c>
      <c r="M39" s="5" t="str">
        <f t="shared" ca="1" si="9"/>
        <v>No</v>
      </c>
      <c r="N39">
        <f t="shared" ca="1" si="10"/>
        <v>17</v>
      </c>
      <c r="O39" t="str">
        <f t="shared" ca="1" si="11"/>
        <v>Crafting</v>
      </c>
    </row>
    <row r="40" spans="8:15" x14ac:dyDescent="0.25">
      <c r="H40" t="s">
        <v>46</v>
      </c>
      <c r="I40" t="str">
        <f ca="1">CONCATENATE(RANDBETWEEN(10000,99999),"-",RANDBETWEEN(10,99),UPPER(MID(Table1[[#This Row],[Asset]],2,2)))</f>
        <v>18613-12RA</v>
      </c>
      <c r="J40" s="2">
        <f t="shared" ca="1" si="6"/>
        <v>41775</v>
      </c>
      <c r="K40" s="3">
        <f t="shared" ca="1" si="7"/>
        <v>89.72</v>
      </c>
      <c r="L40" s="4">
        <f t="shared" ca="1" si="8"/>
        <v>47.96</v>
      </c>
      <c r="M40" s="5" t="str">
        <f t="shared" ca="1" si="9"/>
        <v>Yes</v>
      </c>
      <c r="N40">
        <f t="shared" ca="1" si="10"/>
        <v>6</v>
      </c>
      <c r="O40" t="str">
        <f t="shared" ca="1" si="11"/>
        <v>Minecrafting</v>
      </c>
    </row>
    <row r="41" spans="8:15" x14ac:dyDescent="0.25">
      <c r="H41" t="s">
        <v>47</v>
      </c>
      <c r="I41" t="str">
        <f ca="1">CONCATENATE(RANDBETWEEN(10000,99999),"-",RANDBETWEEN(10,99),UPPER(MID(Table1[[#This Row],[Asset]],2,2)))</f>
        <v>74833-87IG</v>
      </c>
      <c r="J41" s="2">
        <f t="shared" ca="1" si="6"/>
        <v>41727</v>
      </c>
      <c r="K41" s="3">
        <f t="shared" ca="1" si="7"/>
        <v>139.12</v>
      </c>
      <c r="L41" s="4">
        <f t="shared" ca="1" si="8"/>
        <v>-8.32</v>
      </c>
      <c r="M41" s="5" t="str">
        <f t="shared" ca="1" si="9"/>
        <v>Yes</v>
      </c>
      <c r="N41">
        <f t="shared" ca="1" si="10"/>
        <v>1</v>
      </c>
      <c r="O41" t="str">
        <f t="shared" ca="1" si="11"/>
        <v>Crafting</v>
      </c>
    </row>
    <row r="42" spans="8:15" x14ac:dyDescent="0.25">
      <c r="H42" t="s">
        <v>48</v>
      </c>
      <c r="I42" t="str">
        <f ca="1">CONCATENATE(RANDBETWEEN(10000,99999),"-",RANDBETWEEN(10,99),UPPER(MID(Table1[[#This Row],[Asset]],2,2)))</f>
        <v>73334-77YA</v>
      </c>
      <c r="J42" s="2">
        <f t="shared" ca="1" si="6"/>
        <v>41605</v>
      </c>
      <c r="K42" s="3">
        <f t="shared" ca="1" si="7"/>
        <v>53.49</v>
      </c>
      <c r="L42" s="4">
        <f t="shared" ca="1" si="8"/>
        <v>-5.62</v>
      </c>
      <c r="M42" s="5" t="str">
        <f t="shared" ca="1" si="9"/>
        <v>No</v>
      </c>
      <c r="N42">
        <f t="shared" ca="1" si="10"/>
        <v>12</v>
      </c>
      <c r="O42" t="str">
        <f t="shared" ca="1" si="11"/>
        <v>Mining</v>
      </c>
    </row>
    <row r="43" spans="8:15" x14ac:dyDescent="0.25">
      <c r="H43" t="s">
        <v>49</v>
      </c>
      <c r="I43" t="str">
        <f ca="1">CONCATENATE(RANDBETWEEN(10000,99999),"-",RANDBETWEEN(10,99),UPPER(MID(Table1[[#This Row],[Asset]],2,2)))</f>
        <v>98523-32UR</v>
      </c>
      <c r="J43" s="2">
        <f t="shared" ca="1" si="6"/>
        <v>41623</v>
      </c>
      <c r="K43" s="3">
        <f t="shared" ca="1" si="7"/>
        <v>118.33</v>
      </c>
      <c r="L43" s="4">
        <f t="shared" ca="1" si="8"/>
        <v>26.74</v>
      </c>
      <c r="M43" s="5" t="str">
        <f t="shared" ca="1" si="9"/>
        <v>Yes</v>
      </c>
      <c r="N43">
        <f t="shared" ca="1" si="10"/>
        <v>20</v>
      </c>
      <c r="O43" t="str">
        <f t="shared" ca="1" si="11"/>
        <v>Mining</v>
      </c>
    </row>
    <row r="44" spans="8:15" x14ac:dyDescent="0.25">
      <c r="H44" t="s">
        <v>50</v>
      </c>
      <c r="I44" t="str">
        <f ca="1">CONCATENATE(RANDBETWEEN(10000,99999),"-",RANDBETWEEN(10,99),UPPER(MID(Table1[[#This Row],[Asset]],2,2)))</f>
        <v>27686-89LU</v>
      </c>
      <c r="J44" s="2">
        <f t="shared" ca="1" si="6"/>
        <v>41660</v>
      </c>
      <c r="K44" s="3">
        <f t="shared" ca="1" si="7"/>
        <v>133.28</v>
      </c>
      <c r="L44" s="4">
        <f t="shared" ca="1" si="8"/>
        <v>42.11</v>
      </c>
      <c r="M44" s="5" t="str">
        <f t="shared" ca="1" si="9"/>
        <v>No</v>
      </c>
      <c r="N44">
        <f t="shared" ca="1" si="10"/>
        <v>2</v>
      </c>
      <c r="O44" t="str">
        <f t="shared" ca="1" si="11"/>
        <v>Crafting</v>
      </c>
    </row>
    <row r="45" spans="8:15" x14ac:dyDescent="0.25">
      <c r="H45" t="s">
        <v>51</v>
      </c>
      <c r="I45" t="str">
        <f ca="1">CONCATENATE(RANDBETWEEN(10000,99999),"-",RANDBETWEEN(10,99),UPPER(MID(Table1[[#This Row],[Asset]],2,2)))</f>
        <v>95724-59RO</v>
      </c>
      <c r="J45" s="2">
        <f t="shared" ca="1" si="6"/>
        <v>41834</v>
      </c>
      <c r="K45" s="3">
        <f t="shared" ca="1" si="7"/>
        <v>143.19999999999999</v>
      </c>
      <c r="L45" s="4">
        <f t="shared" ca="1" si="8"/>
        <v>-36.869999999999997</v>
      </c>
      <c r="M45" s="5" t="str">
        <f t="shared" ca="1" si="9"/>
        <v>No</v>
      </c>
      <c r="N45">
        <f t="shared" ca="1" si="10"/>
        <v>19</v>
      </c>
      <c r="O45" t="str">
        <f t="shared" ca="1" si="11"/>
        <v>Minecrafting</v>
      </c>
    </row>
    <row r="46" spans="8:15" x14ac:dyDescent="0.25">
      <c r="H46" t="s">
        <v>52</v>
      </c>
      <c r="I46" t="str">
        <f ca="1">CONCATENATE(RANDBETWEEN(10000,99999),"-",RANDBETWEEN(10,99),UPPER(MID(Table1[[#This Row],[Asset]],2,2)))</f>
        <v>32475-87RE</v>
      </c>
      <c r="J46" s="2">
        <f t="shared" ca="1" si="6"/>
        <v>41755</v>
      </c>
      <c r="K46" s="3">
        <f t="shared" ca="1" si="7"/>
        <v>64.38</v>
      </c>
      <c r="L46" s="4">
        <f t="shared" ca="1" si="8"/>
        <v>-10.01</v>
      </c>
      <c r="M46" s="5" t="str">
        <f t="shared" ca="1" si="9"/>
        <v>No</v>
      </c>
      <c r="N46">
        <f t="shared" ca="1" si="10"/>
        <v>14</v>
      </c>
      <c r="O46" t="str">
        <f t="shared" ca="1" si="11"/>
        <v>Mining</v>
      </c>
    </row>
    <row r="47" spans="8:15" x14ac:dyDescent="0.25">
      <c r="H47" t="s">
        <v>53</v>
      </c>
      <c r="I47" t="str">
        <f ca="1">CONCATENATE(RANDBETWEEN(10000,99999),"-",RANDBETWEEN(10,99),UPPER(MID(Table1[[#This Row],[Asset]],2,2)))</f>
        <v>44176-88ED</v>
      </c>
      <c r="J47" s="2">
        <f t="shared" ca="1" si="6"/>
        <v>41643</v>
      </c>
      <c r="K47" s="3">
        <f t="shared" ca="1" si="7"/>
        <v>53.11</v>
      </c>
      <c r="L47" s="4">
        <f t="shared" ca="1" si="8"/>
        <v>45.54</v>
      </c>
      <c r="M47" s="5" t="str">
        <f t="shared" ca="1" si="9"/>
        <v>No</v>
      </c>
      <c r="N47">
        <f t="shared" ca="1" si="10"/>
        <v>10</v>
      </c>
      <c r="O47" t="str">
        <f t="shared" ca="1" si="11"/>
        <v>Minecrafting</v>
      </c>
    </row>
    <row r="48" spans="8:15" x14ac:dyDescent="0.25">
      <c r="H48" t="s">
        <v>54</v>
      </c>
      <c r="I48" t="str">
        <f ca="1">CONCATENATE(RANDBETWEEN(10000,99999),"-",RANDBETWEEN(10,99),UPPER(MID(Table1[[#This Row],[Asset]],2,2)))</f>
        <v>35882-30LA</v>
      </c>
      <c r="J48" s="2">
        <f t="shared" ca="1" si="6"/>
        <v>41733</v>
      </c>
      <c r="K48" s="3">
        <f t="shared" ca="1" si="7"/>
        <v>75.430000000000007</v>
      </c>
      <c r="L48" s="4">
        <f t="shared" ca="1" si="8"/>
        <v>-23.81</v>
      </c>
      <c r="M48" s="5" t="str">
        <f t="shared" ca="1" si="9"/>
        <v>Yes</v>
      </c>
      <c r="N48">
        <f t="shared" ca="1" si="10"/>
        <v>18</v>
      </c>
      <c r="O48" t="str">
        <f t="shared" ca="1" si="11"/>
        <v>Crafting</v>
      </c>
    </row>
    <row r="49" spans="8:15" x14ac:dyDescent="0.25">
      <c r="H49" t="s">
        <v>55</v>
      </c>
      <c r="I49" t="str">
        <f ca="1">CONCATENATE(RANDBETWEEN(10000,99999),"-",RANDBETWEEN(10,99),UPPER(MID(Table1[[#This Row],[Asset]],2,2)))</f>
        <v>24580-84OO</v>
      </c>
      <c r="J49" s="2">
        <f t="shared" ca="1" si="6"/>
        <v>41827</v>
      </c>
      <c r="K49" s="3">
        <f t="shared" ca="1" si="7"/>
        <v>23.81</v>
      </c>
      <c r="L49" s="4">
        <f t="shared" ca="1" si="8"/>
        <v>78.61</v>
      </c>
      <c r="M49" s="5" t="str">
        <f t="shared" ca="1" si="9"/>
        <v>No</v>
      </c>
      <c r="N49">
        <f t="shared" ca="1" si="10"/>
        <v>15</v>
      </c>
      <c r="O49" t="str">
        <f t="shared" ca="1" si="11"/>
        <v>Mining</v>
      </c>
    </row>
    <row r="50" spans="8:15" x14ac:dyDescent="0.25">
      <c r="H50" t="s">
        <v>56</v>
      </c>
      <c r="I50" t="str">
        <f ca="1">CONCATENATE(RANDBETWEEN(10000,99999),"-",RANDBETWEEN(10,99),UPPER(MID(Table1[[#This Row],[Asset]],2,2)))</f>
        <v>85644-56TO</v>
      </c>
      <c r="J50" s="2">
        <f t="shared" ca="1" si="6"/>
        <v>41637</v>
      </c>
      <c r="K50" s="3">
        <f t="shared" ca="1" si="7"/>
        <v>86.6</v>
      </c>
      <c r="L50" s="4">
        <f t="shared" ca="1" si="8"/>
        <v>-1.53</v>
      </c>
      <c r="M50" s="5" t="str">
        <f t="shared" ca="1" si="9"/>
        <v>No</v>
      </c>
      <c r="N50">
        <f t="shared" ca="1" si="10"/>
        <v>3</v>
      </c>
      <c r="O50" t="str">
        <f t="shared" ca="1" si="11"/>
        <v>Minecrafting</v>
      </c>
    </row>
    <row r="51" spans="8:15" x14ac:dyDescent="0.25">
      <c r="H51" t="s">
        <v>57</v>
      </c>
      <c r="I51" t="str">
        <f ca="1">CONCATENATE(RANDBETWEEN(10000,99999),"-",RANDBETWEEN(10,99),UPPER(MID(Table1[[#This Row],[Asset]],2,2)))</f>
        <v>75818-47OB</v>
      </c>
      <c r="J51" s="2">
        <f t="shared" ca="1" si="6"/>
        <v>41775</v>
      </c>
      <c r="K51" s="3">
        <f t="shared" ca="1" si="7"/>
        <v>72.510000000000005</v>
      </c>
      <c r="L51" s="4">
        <f t="shared" ca="1" si="8"/>
        <v>75.3</v>
      </c>
      <c r="M51" s="5" t="str">
        <f t="shared" ca="1" si="9"/>
        <v>No</v>
      </c>
      <c r="N51">
        <f t="shared" ca="1" si="10"/>
        <v>3</v>
      </c>
      <c r="O51" t="str">
        <f t="shared" ca="1" si="11"/>
        <v>Minecrafting</v>
      </c>
    </row>
    <row r="52" spans="8:15" x14ac:dyDescent="0.25">
      <c r="H52" t="s">
        <v>58</v>
      </c>
      <c r="I52" t="str">
        <f ca="1">CONCATENATE(RANDBETWEEN(10000,99999),"-",RANDBETWEEN(10,99),UPPER(MID(Table1[[#This Row],[Asset]],2,2)))</f>
        <v>82579-91TO</v>
      </c>
      <c r="J52" s="2">
        <f t="shared" ca="1" si="6"/>
        <v>41730</v>
      </c>
      <c r="K52" s="3">
        <f t="shared" ca="1" si="7"/>
        <v>65.959999999999994</v>
      </c>
      <c r="L52" s="4">
        <f t="shared" ca="1" si="8"/>
        <v>-43.1</v>
      </c>
      <c r="M52" s="5" t="str">
        <f t="shared" ca="1" si="9"/>
        <v>No</v>
      </c>
      <c r="N52">
        <f t="shared" ca="1" si="10"/>
        <v>14</v>
      </c>
      <c r="O52" t="str">
        <f t="shared" ca="1" si="11"/>
        <v>Crafting</v>
      </c>
    </row>
    <row r="53" spans="8:15" x14ac:dyDescent="0.25">
      <c r="H53" t="s">
        <v>59</v>
      </c>
      <c r="I53" t="str">
        <f ca="1">CONCATENATE(RANDBETWEEN(10000,99999),"-",RANDBETWEEN(10,99),UPPER(MID(Table1[[#This Row],[Asset]],2,2)))</f>
        <v>99646-88OS</v>
      </c>
      <c r="J53" s="2">
        <f t="shared" ca="1" si="6"/>
        <v>41782</v>
      </c>
      <c r="K53" s="3">
        <f t="shared" ca="1" si="7"/>
        <v>67.03</v>
      </c>
      <c r="L53" s="4">
        <f t="shared" ca="1" si="8"/>
        <v>27.62</v>
      </c>
      <c r="M53" s="5" t="str">
        <f t="shared" ca="1" si="9"/>
        <v>Yes</v>
      </c>
      <c r="N53">
        <f t="shared" ca="1" si="10"/>
        <v>13</v>
      </c>
      <c r="O53" t="str">
        <f t="shared" ca="1" si="11"/>
        <v>Crafting</v>
      </c>
    </row>
    <row r="54" spans="8:15" x14ac:dyDescent="0.25">
      <c r="H54" t="s">
        <v>60</v>
      </c>
      <c r="I54" t="str">
        <f ca="1">CONCATENATE(RANDBETWEEN(10000,99999),"-",RANDBETWEEN(10,99),UPPER(MID(Table1[[#This Row],[Asset]],2,2)))</f>
        <v>29359-98RA</v>
      </c>
      <c r="J54" s="2">
        <f t="shared" ca="1" si="6"/>
        <v>41686</v>
      </c>
      <c r="K54" s="3">
        <f t="shared" ca="1" si="7"/>
        <v>38.53</v>
      </c>
      <c r="L54" s="4">
        <f t="shared" ca="1" si="8"/>
        <v>-49.09</v>
      </c>
      <c r="M54" s="5" t="str">
        <f t="shared" ca="1" si="9"/>
        <v>No</v>
      </c>
      <c r="N54">
        <f t="shared" ca="1" si="10"/>
        <v>17</v>
      </c>
      <c r="O54" t="str">
        <f t="shared" ca="1" si="11"/>
        <v>Mining</v>
      </c>
    </row>
    <row r="55" spans="8:15" x14ac:dyDescent="0.25">
      <c r="H55" t="s">
        <v>61</v>
      </c>
      <c r="I55" t="str">
        <f ca="1">CONCATENATE(RANDBETWEEN(10000,99999),"-",RANDBETWEEN(10,99),UPPER(MID(Table1[[#This Row],[Asset]],2,2)))</f>
        <v>84632-76HI</v>
      </c>
      <c r="J55" s="2">
        <f t="shared" ca="1" si="6"/>
        <v>41701</v>
      </c>
      <c r="K55" s="3">
        <f t="shared" ca="1" si="7"/>
        <v>77.430000000000007</v>
      </c>
      <c r="L55" s="4">
        <f t="shared" ca="1" si="8"/>
        <v>-45.35</v>
      </c>
      <c r="M55" s="5" t="str">
        <f t="shared" ca="1" si="9"/>
        <v>Yes</v>
      </c>
      <c r="N55">
        <f t="shared" ca="1" si="10"/>
        <v>4</v>
      </c>
      <c r="O55" t="str">
        <f t="shared" ca="1" si="11"/>
        <v>Crafting</v>
      </c>
    </row>
    <row r="56" spans="8:15" x14ac:dyDescent="0.25">
      <c r="H56" t="s">
        <v>62</v>
      </c>
      <c r="I56" t="str">
        <f ca="1">CONCATENATE(RANDBETWEEN(10000,99999),"-",RANDBETWEEN(10,99),UPPER(MID(Table1[[#This Row],[Asset]],2,2)))</f>
        <v>18538-36TO</v>
      </c>
      <c r="J56" s="2">
        <f t="shared" ca="1" si="6"/>
        <v>41807</v>
      </c>
      <c r="K56" s="3">
        <f t="shared" ca="1" si="7"/>
        <v>74.77</v>
      </c>
      <c r="L56" s="4">
        <f t="shared" ca="1" si="8"/>
        <v>64.88</v>
      </c>
      <c r="M56" s="5" t="str">
        <f t="shared" ca="1" si="9"/>
        <v>No</v>
      </c>
      <c r="N56">
        <f t="shared" ca="1" si="10"/>
        <v>10</v>
      </c>
      <c r="O56" t="str">
        <f t="shared" ca="1" si="11"/>
        <v>Mining</v>
      </c>
    </row>
    <row r="57" spans="8:15" x14ac:dyDescent="0.25">
      <c r="H57" t="s">
        <v>63</v>
      </c>
      <c r="I57" t="str">
        <f ca="1">CONCATENATE(RANDBETWEEN(10000,99999),"-",RANDBETWEEN(10,99),UPPER(MID(Table1[[#This Row],[Asset]],2,2)))</f>
        <v>83862-64OS</v>
      </c>
      <c r="J57" s="2">
        <f t="shared" ca="1" si="6"/>
        <v>41815</v>
      </c>
      <c r="K57" s="3">
        <f t="shared" ca="1" si="7"/>
        <v>52.57</v>
      </c>
      <c r="L57" s="4">
        <f t="shared" ca="1" si="8"/>
        <v>-19.559999999999999</v>
      </c>
      <c r="M57" s="5" t="str">
        <f t="shared" ca="1" si="9"/>
        <v>Yes</v>
      </c>
      <c r="N57">
        <f t="shared" ca="1" si="10"/>
        <v>3</v>
      </c>
      <c r="O57" t="str">
        <f t="shared" ca="1" si="11"/>
        <v>Mining</v>
      </c>
    </row>
    <row r="58" spans="8:15" x14ac:dyDescent="0.25">
      <c r="H58" t="s">
        <v>64</v>
      </c>
      <c r="I58" t="str">
        <f ca="1">CONCATENATE(RANDBETWEEN(10000,99999),"-",RANDBETWEEN(10,99),UPPER(MID(Table1[[#This Row],[Asset]],2,2)))</f>
        <v>89935-14RA</v>
      </c>
      <c r="J58" s="2">
        <f t="shared" ca="1" si="6"/>
        <v>41682</v>
      </c>
      <c r="K58" s="3">
        <f t="shared" ca="1" si="7"/>
        <v>62.4</v>
      </c>
      <c r="L58" s="4">
        <f t="shared" ca="1" si="8"/>
        <v>38.21</v>
      </c>
      <c r="M58" s="5" t="str">
        <f t="shared" ca="1" si="9"/>
        <v>No</v>
      </c>
      <c r="N58">
        <f t="shared" ca="1" si="10"/>
        <v>8</v>
      </c>
      <c r="O58" t="str">
        <f t="shared" ca="1" si="11"/>
        <v>Crafting</v>
      </c>
    </row>
    <row r="59" spans="8:15" x14ac:dyDescent="0.25">
      <c r="H59" t="s">
        <v>65</v>
      </c>
      <c r="I59" t="str">
        <f ca="1">CONCATENATE(RANDBETWEEN(10000,99999),"-",RANDBETWEEN(10,99),UPPER(MID(Table1[[#This Row],[Asset]],2,2)))</f>
        <v>49527-82HI</v>
      </c>
      <c r="J59" s="2">
        <f t="shared" ca="1" si="6"/>
        <v>41769</v>
      </c>
      <c r="K59" s="3">
        <f t="shared" ca="1" si="7"/>
        <v>104.54</v>
      </c>
      <c r="L59" s="4">
        <f t="shared" ca="1" si="8"/>
        <v>-33.159999999999997</v>
      </c>
      <c r="M59" s="5" t="str">
        <f t="shared" ca="1" si="9"/>
        <v>Yes</v>
      </c>
      <c r="N59">
        <f t="shared" ca="1" si="10"/>
        <v>1</v>
      </c>
      <c r="O59" t="str">
        <f t="shared" ca="1" si="11"/>
        <v>Minecrafting</v>
      </c>
    </row>
    <row r="60" spans="8:15" x14ac:dyDescent="0.25">
      <c r="H60" t="s">
        <v>66</v>
      </c>
      <c r="I60" t="str">
        <f ca="1">CONCATENATE(RANDBETWEEN(10000,99999),"-",RANDBETWEEN(10,99),UPPER(MID(Table1[[#This Row],[Asset]],2,2)))</f>
        <v>42240-70ED</v>
      </c>
      <c r="J60" s="2">
        <f t="shared" ca="1" si="6"/>
        <v>41667</v>
      </c>
      <c r="K60" s="3">
        <f t="shared" ca="1" si="7"/>
        <v>80.239999999999995</v>
      </c>
      <c r="L60" s="4">
        <f t="shared" ca="1" si="8"/>
        <v>16.93</v>
      </c>
      <c r="M60" s="5" t="str">
        <f t="shared" ca="1" si="9"/>
        <v>Yes</v>
      </c>
      <c r="N60">
        <f t="shared" ca="1" si="10"/>
        <v>18</v>
      </c>
      <c r="O60" t="str">
        <f t="shared" ca="1" si="11"/>
        <v>Mining</v>
      </c>
    </row>
    <row r="61" spans="8:15" x14ac:dyDescent="0.25">
      <c r="H61" t="s">
        <v>67</v>
      </c>
      <c r="I61" t="str">
        <f ca="1">CONCATENATE(RANDBETWEEN(10000,99999),"-",RANDBETWEEN(10,99),UPPER(MID(Table1[[#This Row],[Asset]],2,2)))</f>
        <v>41556-12RO</v>
      </c>
      <c r="J61" s="2">
        <f t="shared" ca="1" si="6"/>
        <v>41755</v>
      </c>
      <c r="K61" s="3">
        <f t="shared" ca="1" si="7"/>
        <v>142.53</v>
      </c>
      <c r="L61" s="4">
        <f t="shared" ca="1" si="8"/>
        <v>27.09</v>
      </c>
      <c r="M61" s="5" t="str">
        <f t="shared" ca="1" si="9"/>
        <v>Yes</v>
      </c>
      <c r="N61">
        <f t="shared" ca="1" si="10"/>
        <v>20</v>
      </c>
      <c r="O61" t="str">
        <f t="shared" ca="1" si="11"/>
        <v>Mining</v>
      </c>
    </row>
    <row r="62" spans="8:15" x14ac:dyDescent="0.25">
      <c r="H62" t="s">
        <v>68</v>
      </c>
      <c r="I62" t="str">
        <f ca="1">CONCATENATE(RANDBETWEEN(10000,99999),"-",RANDBETWEEN(10,99),UPPER(MID(Table1[[#This Row],[Asset]],2,2)))</f>
        <v>32989-66RO</v>
      </c>
      <c r="J62" s="2">
        <f t="shared" ca="1" si="6"/>
        <v>41691</v>
      </c>
      <c r="K62" s="3">
        <f t="shared" ca="1" si="7"/>
        <v>31.7</v>
      </c>
      <c r="L62" s="4">
        <f t="shared" ca="1" si="8"/>
        <v>-10.06</v>
      </c>
      <c r="M62" s="5" t="str">
        <f t="shared" ca="1" si="9"/>
        <v>No</v>
      </c>
      <c r="N62">
        <f t="shared" ca="1" si="10"/>
        <v>10</v>
      </c>
      <c r="O62" t="str">
        <f t="shared" ca="1" si="11"/>
        <v>Mining</v>
      </c>
    </row>
    <row r="63" spans="8:15" x14ac:dyDescent="0.25">
      <c r="H63" t="s">
        <v>69</v>
      </c>
      <c r="I63" t="str">
        <f ca="1">CONCATENATE(RANDBETWEEN(10000,99999),"-",RANDBETWEEN(10,99),UPPER(MID(Table1[[#This Row],[Asset]],2,2)))</f>
        <v>53003-19LA</v>
      </c>
      <c r="J63" s="2">
        <f t="shared" ca="1" si="6"/>
        <v>41840</v>
      </c>
      <c r="K63" s="3">
        <f t="shared" ca="1" si="7"/>
        <v>47.35</v>
      </c>
      <c r="L63" s="4">
        <f t="shared" ca="1" si="8"/>
        <v>32.549999999999997</v>
      </c>
      <c r="M63" s="5" t="str">
        <f t="shared" ca="1" si="9"/>
        <v>Yes</v>
      </c>
      <c r="N63">
        <f t="shared" ca="1" si="10"/>
        <v>16</v>
      </c>
      <c r="O63" t="str">
        <f t="shared" ca="1" si="11"/>
        <v>Minecrafting</v>
      </c>
    </row>
    <row r="64" spans="8:15" x14ac:dyDescent="0.25">
      <c r="H64" t="s">
        <v>70</v>
      </c>
      <c r="I64" t="str">
        <f ca="1">CONCATENATE(RANDBETWEEN(10000,99999),"-",RANDBETWEEN(10,99),UPPER(MID(Table1[[#This Row],[Asset]],2,2)))</f>
        <v>77617-40EL</v>
      </c>
      <c r="J64" s="2">
        <f t="shared" ca="1" si="6"/>
        <v>41820</v>
      </c>
      <c r="K64" s="3">
        <f t="shared" ca="1" si="7"/>
        <v>78.5</v>
      </c>
      <c r="L64" s="4">
        <f t="shared" ca="1" si="8"/>
        <v>53.73</v>
      </c>
      <c r="M64" s="5" t="str">
        <f t="shared" ca="1" si="9"/>
        <v>Yes</v>
      </c>
      <c r="N64">
        <f t="shared" ca="1" si="10"/>
        <v>17</v>
      </c>
      <c r="O64" t="str">
        <f t="shared" ca="1" si="11"/>
        <v>Minecrafting</v>
      </c>
    </row>
    <row r="65" spans="8:15" x14ac:dyDescent="0.25">
      <c r="H65" t="s">
        <v>71</v>
      </c>
      <c r="I65" t="str">
        <f ca="1">CONCATENATE(RANDBETWEEN(10000,99999),"-",RANDBETWEEN(10,99),UPPER(MID(Table1[[#This Row],[Asset]],2,2)))</f>
        <v>97418-78UM</v>
      </c>
      <c r="J65" s="2">
        <f t="shared" ca="1" si="6"/>
        <v>41828</v>
      </c>
      <c r="K65" s="3">
        <f t="shared" ca="1" si="7"/>
        <v>103.96</v>
      </c>
      <c r="L65" s="4">
        <f t="shared" ca="1" si="8"/>
        <v>19.43</v>
      </c>
      <c r="M65" s="5" t="str">
        <f t="shared" ca="1" si="9"/>
        <v>No</v>
      </c>
      <c r="N65">
        <f t="shared" ca="1" si="10"/>
        <v>15</v>
      </c>
      <c r="O65" t="str">
        <f t="shared" ca="1" si="11"/>
        <v>Minecrafting</v>
      </c>
    </row>
    <row r="66" spans="8:15" x14ac:dyDescent="0.25">
      <c r="H66" t="s">
        <v>72</v>
      </c>
      <c r="I66" t="str">
        <f ca="1">CONCATENATE(RANDBETWEEN(10000,99999),"-",RANDBETWEEN(10,99),UPPER(MID(Table1[[#This Row],[Asset]],2,2)))</f>
        <v>92861-84EL</v>
      </c>
      <c r="J66" s="2">
        <f t="shared" ca="1" si="6"/>
        <v>41736</v>
      </c>
      <c r="K66" s="3">
        <f t="shared" ca="1" si="7"/>
        <v>130.85</v>
      </c>
      <c r="L66" s="4">
        <f t="shared" ca="1" si="8"/>
        <v>-41.55</v>
      </c>
      <c r="M66" s="5" t="str">
        <f t="shared" ca="1" si="9"/>
        <v>No</v>
      </c>
      <c r="N66">
        <f t="shared" ca="1" si="10"/>
        <v>18</v>
      </c>
      <c r="O66" t="str">
        <f t="shared" ca="1" si="11"/>
        <v>Mining</v>
      </c>
    </row>
    <row r="67" spans="8:15" x14ac:dyDescent="0.25">
      <c r="H67" t="s">
        <v>73</v>
      </c>
      <c r="I67" t="str">
        <f ca="1">CONCATENATE(RANDBETWEEN(10000,99999),"-",RANDBETWEEN(10,99),UPPER(MID(Table1[[#This Row],[Asset]],2,2)))</f>
        <v>56010-99IN</v>
      </c>
      <c r="J67" s="2">
        <f t="shared" ref="J67:J98" ca="1" si="12">RANDBETWEEN(41600,41840)</f>
        <v>41662</v>
      </c>
      <c r="K67" s="3">
        <f t="shared" ref="K67:K98" ca="1" si="13">RANDBETWEEN(1000,15000)/100</f>
        <v>142.69999999999999</v>
      </c>
      <c r="L67" s="4">
        <f t="shared" ref="L67:L98" ca="1" si="14">RANDBETWEEN(-5000,8000)/100</f>
        <v>-15.72</v>
      </c>
      <c r="M67" s="5" t="str">
        <f t="shared" ref="M67:M98" ca="1" si="15">IF(RAND()&gt;0.5,"Yes","No")</f>
        <v>No</v>
      </c>
      <c r="N67">
        <f t="shared" ref="N67:N98" ca="1" si="16">RANDBETWEEN(1,20)</f>
        <v>18</v>
      </c>
      <c r="O67" t="str">
        <f t="shared" ref="O67:O98" ca="1" si="17">IF(RAND()&gt;0.5,"Mining",IF(RAND()&gt;0.4,"Crafting","Minecrafting"))</f>
        <v>Minecrafting</v>
      </c>
    </row>
    <row r="68" spans="8:15" x14ac:dyDescent="0.25">
      <c r="H68" t="s">
        <v>74</v>
      </c>
      <c r="I68" t="str">
        <f ca="1">CONCATENATE(RANDBETWEEN(10000,99999),"-",RANDBETWEEN(10,99),UPPER(MID(Table1[[#This Row],[Asset]],2,2)))</f>
        <v>21407-67AK</v>
      </c>
      <c r="J68" s="2">
        <f t="shared" ca="1" si="12"/>
        <v>41733</v>
      </c>
      <c r="K68" s="3">
        <f t="shared" ca="1" si="13"/>
        <v>116.48</v>
      </c>
      <c r="L68" s="4">
        <f t="shared" ca="1" si="14"/>
        <v>59.49</v>
      </c>
      <c r="M68" s="5" t="str">
        <f t="shared" ca="1" si="15"/>
        <v>Yes</v>
      </c>
      <c r="N68">
        <f t="shared" ca="1" si="16"/>
        <v>13</v>
      </c>
      <c r="O68" t="str">
        <f t="shared" ca="1" si="17"/>
        <v>Mining</v>
      </c>
    </row>
    <row r="69" spans="8:15" x14ac:dyDescent="0.25">
      <c r="H69" t="s">
        <v>75</v>
      </c>
      <c r="I69" t="str">
        <f ca="1">CONCATENATE(RANDBETWEEN(10000,99999),"-",RANDBETWEEN(10,99),UPPER(MID(Table1[[#This Row],[Asset]],2,2)))</f>
        <v>24763-42RI</v>
      </c>
      <c r="J69" s="2">
        <f t="shared" ca="1" si="12"/>
        <v>41748</v>
      </c>
      <c r="K69" s="3">
        <f t="shared" ca="1" si="13"/>
        <v>123.97</v>
      </c>
      <c r="L69" s="4">
        <f t="shared" ca="1" si="14"/>
        <v>6.06</v>
      </c>
      <c r="M69" s="5" t="str">
        <f t="shared" ca="1" si="15"/>
        <v>No</v>
      </c>
      <c r="N69">
        <f t="shared" ca="1" si="16"/>
        <v>10</v>
      </c>
      <c r="O69" t="str">
        <f t="shared" ca="1" si="17"/>
        <v>Crafting</v>
      </c>
    </row>
    <row r="70" spans="8:15" x14ac:dyDescent="0.25">
      <c r="H70" t="s">
        <v>76</v>
      </c>
      <c r="I70" t="str">
        <f ca="1">CONCATENATE(RANDBETWEEN(10000,99999),"-",RANDBETWEEN(10,99),UPPER(MID(Table1[[#This Row],[Asset]],2,2)))</f>
        <v>23373-70TO</v>
      </c>
      <c r="J70" s="2">
        <f t="shared" ca="1" si="12"/>
        <v>41634</v>
      </c>
      <c r="K70" s="3">
        <f t="shared" ca="1" si="13"/>
        <v>42.45</v>
      </c>
      <c r="L70" s="4">
        <f t="shared" ca="1" si="14"/>
        <v>-31.63</v>
      </c>
      <c r="M70" s="5" t="str">
        <f t="shared" ca="1" si="15"/>
        <v>No</v>
      </c>
      <c r="N70">
        <f t="shared" ca="1" si="16"/>
        <v>6</v>
      </c>
      <c r="O70" t="str">
        <f t="shared" ca="1" si="17"/>
        <v>Mining</v>
      </c>
    </row>
    <row r="71" spans="8:15" x14ac:dyDescent="0.25">
      <c r="H71" t="s">
        <v>77</v>
      </c>
      <c r="I71" t="str">
        <f ca="1">CONCATENATE(RANDBETWEEN(10000,99999),"-",RANDBETWEEN(10,99),UPPER(MID(Table1[[#This Row],[Asset]],2,2)))</f>
        <v>72468-39YC</v>
      </c>
      <c r="J71" s="2">
        <f t="shared" ca="1" si="12"/>
        <v>41721</v>
      </c>
      <c r="K71" s="3">
        <f t="shared" ca="1" si="13"/>
        <v>81.58</v>
      </c>
      <c r="L71" s="4">
        <f t="shared" ca="1" si="14"/>
        <v>56.17</v>
      </c>
      <c r="M71" s="5" t="str">
        <f t="shared" ca="1" si="15"/>
        <v>No</v>
      </c>
      <c r="N71">
        <f t="shared" ca="1" si="16"/>
        <v>5</v>
      </c>
      <c r="O71" t="str">
        <f t="shared" ca="1" si="17"/>
        <v>Minecrafting</v>
      </c>
    </row>
    <row r="72" spans="8:15" x14ac:dyDescent="0.25">
      <c r="H72" t="s">
        <v>78</v>
      </c>
      <c r="I72" t="str">
        <f ca="1">CONCATENATE(RANDBETWEEN(10000,99999),"-",RANDBETWEEN(10,99),UPPER(MID(Table1[[#This Row],[Asset]],2,2)))</f>
        <v>90787-47IL</v>
      </c>
      <c r="J72" s="2">
        <f t="shared" ca="1" si="12"/>
        <v>41613</v>
      </c>
      <c r="K72" s="3">
        <f t="shared" ca="1" si="13"/>
        <v>83.57</v>
      </c>
      <c r="L72" s="4">
        <f t="shared" ca="1" si="14"/>
        <v>-5.57</v>
      </c>
      <c r="M72" s="5" t="str">
        <f t="shared" ca="1" si="15"/>
        <v>Yes</v>
      </c>
      <c r="N72">
        <f t="shared" ca="1" si="16"/>
        <v>20</v>
      </c>
      <c r="O72" t="str">
        <f t="shared" ca="1" si="17"/>
        <v>Minecrafting</v>
      </c>
    </row>
    <row r="73" spans="8:15" x14ac:dyDescent="0.25">
      <c r="H73" t="s">
        <v>79</v>
      </c>
      <c r="I73" t="str">
        <f ca="1">CONCATENATE(RANDBETWEEN(10000,99999),"-",RANDBETWEEN(10,99),UPPER(MID(Table1[[#This Row],[Asset]],2,2)))</f>
        <v>81827-90ET</v>
      </c>
      <c r="J73" s="2">
        <f t="shared" ca="1" si="12"/>
        <v>41684</v>
      </c>
      <c r="K73" s="3">
        <f t="shared" ca="1" si="13"/>
        <v>34.93</v>
      </c>
      <c r="L73" s="4">
        <f t="shared" ca="1" si="14"/>
        <v>71.7</v>
      </c>
      <c r="M73" s="5" t="str">
        <f t="shared" ca="1" si="15"/>
        <v>Yes</v>
      </c>
      <c r="N73">
        <f t="shared" ca="1" si="16"/>
        <v>17</v>
      </c>
      <c r="O73" t="str">
        <f t="shared" ca="1" si="17"/>
        <v>Mining</v>
      </c>
    </row>
    <row r="74" spans="8:15" x14ac:dyDescent="0.25">
      <c r="H74" t="s">
        <v>80</v>
      </c>
      <c r="I74" t="str">
        <f ca="1">CONCATENATE(RANDBETWEEN(10000,99999),"-",RANDBETWEEN(10,99),UPPER(MID(Table1[[#This Row],[Asset]],2,2)))</f>
        <v>37865-28ET</v>
      </c>
      <c r="J74" s="2">
        <f t="shared" ca="1" si="12"/>
        <v>41805</v>
      </c>
      <c r="K74" s="3">
        <f t="shared" ca="1" si="13"/>
        <v>92.8</v>
      </c>
      <c r="L74" s="4">
        <f t="shared" ca="1" si="14"/>
        <v>-21.03</v>
      </c>
      <c r="M74" s="5" t="str">
        <f t="shared" ca="1" si="15"/>
        <v>Yes</v>
      </c>
      <c r="N74">
        <f t="shared" ca="1" si="16"/>
        <v>10</v>
      </c>
      <c r="O74" t="str">
        <f t="shared" ca="1" si="17"/>
        <v>Mining</v>
      </c>
    </row>
    <row r="75" spans="8:15" x14ac:dyDescent="0.25">
      <c r="H75" t="s">
        <v>81</v>
      </c>
      <c r="I75" t="str">
        <f ca="1">CONCATENATE(RANDBETWEEN(10000,99999),"-",RANDBETWEEN(10,99),UPPER(MID(Table1[[#This Row],[Asset]],2,2)))</f>
        <v>32819-75ET</v>
      </c>
      <c r="J75" s="2">
        <f t="shared" ca="1" si="12"/>
        <v>41718</v>
      </c>
      <c r="K75" s="3">
        <f t="shared" ca="1" si="13"/>
        <v>138.74</v>
      </c>
      <c r="L75" s="4">
        <f t="shared" ca="1" si="14"/>
        <v>35.44</v>
      </c>
      <c r="M75" s="5" t="str">
        <f t="shared" ca="1" si="15"/>
        <v>No</v>
      </c>
      <c r="N75">
        <f t="shared" ca="1" si="16"/>
        <v>10</v>
      </c>
      <c r="O75" t="str">
        <f t="shared" ca="1" si="17"/>
        <v>Minecrafting</v>
      </c>
    </row>
    <row r="76" spans="8:15" x14ac:dyDescent="0.25">
      <c r="H76" t="s">
        <v>82</v>
      </c>
      <c r="I76" t="str">
        <f ca="1">CONCATENATE(RANDBETWEEN(10000,99999),"-",RANDBETWEEN(10,99),UPPER(MID(Table1[[#This Row],[Asset]],2,2)))</f>
        <v>66301-37ET</v>
      </c>
      <c r="J76" s="2">
        <f t="shared" ca="1" si="12"/>
        <v>41721</v>
      </c>
      <c r="K76" s="3">
        <f t="shared" ca="1" si="13"/>
        <v>88.03</v>
      </c>
      <c r="L76" s="4">
        <f t="shared" ca="1" si="14"/>
        <v>64.75</v>
      </c>
      <c r="M76" s="5" t="str">
        <f t="shared" ca="1" si="15"/>
        <v>Yes</v>
      </c>
      <c r="N76">
        <f t="shared" ca="1" si="16"/>
        <v>20</v>
      </c>
      <c r="O76" t="str">
        <f t="shared" ca="1" si="17"/>
        <v>Mining</v>
      </c>
    </row>
    <row r="77" spans="8:15" x14ac:dyDescent="0.25">
      <c r="H77" t="s">
        <v>83</v>
      </c>
      <c r="I77" t="str">
        <f ca="1">CONCATENATE(RANDBETWEEN(10000,99999),"-",RANDBETWEEN(10,99),UPPER(MID(Table1[[#This Row],[Asset]],2,2)))</f>
        <v>97689-73NC</v>
      </c>
      <c r="J77" s="2">
        <f t="shared" ca="1" si="12"/>
        <v>41628</v>
      </c>
      <c r="K77" s="3">
        <f t="shared" ca="1" si="13"/>
        <v>78.62</v>
      </c>
      <c r="L77" s="4">
        <f t="shared" ca="1" si="14"/>
        <v>-40.01</v>
      </c>
      <c r="M77" s="5" t="str">
        <f t="shared" ca="1" si="15"/>
        <v>No</v>
      </c>
      <c r="N77">
        <f t="shared" ca="1" si="16"/>
        <v>8</v>
      </c>
      <c r="O77" t="str">
        <f t="shared" ca="1" si="17"/>
        <v>Mining</v>
      </c>
    </row>
    <row r="78" spans="8:15" x14ac:dyDescent="0.25">
      <c r="H78" t="s">
        <v>84</v>
      </c>
      <c r="I78" t="str">
        <f ca="1">CONCATENATE(RANDBETWEEN(10000,99999),"-",RANDBETWEEN(10,99),UPPER(MID(Table1[[#This Row],[Asset]],2,2)))</f>
        <v>35392-82RE</v>
      </c>
      <c r="J78" s="2">
        <f t="shared" ca="1" si="12"/>
        <v>41709</v>
      </c>
      <c r="K78" s="3">
        <f t="shared" ca="1" si="13"/>
        <v>40.29</v>
      </c>
      <c r="L78" s="4">
        <f t="shared" ca="1" si="14"/>
        <v>56.76</v>
      </c>
      <c r="M78" s="5" t="str">
        <f t="shared" ca="1" si="15"/>
        <v>No</v>
      </c>
      <c r="N78">
        <f t="shared" ca="1" si="16"/>
        <v>14</v>
      </c>
      <c r="O78" t="str">
        <f t="shared" ca="1" si="17"/>
        <v>Mining</v>
      </c>
    </row>
    <row r="79" spans="8:15" x14ac:dyDescent="0.25">
      <c r="H79" t="s">
        <v>85</v>
      </c>
      <c r="I79" t="str">
        <f ca="1">CONCATENATE(RANDBETWEEN(10000,99999),"-",RANDBETWEEN(10,99),UPPER(MID(Table1[[#This Row],[Asset]],2,2)))</f>
        <v>79698-34AU</v>
      </c>
      <c r="J79" s="2">
        <f t="shared" ca="1" si="12"/>
        <v>41814</v>
      </c>
      <c r="K79" s="3">
        <f t="shared" ca="1" si="13"/>
        <v>75.77</v>
      </c>
      <c r="L79" s="4">
        <f t="shared" ca="1" si="14"/>
        <v>-1.08</v>
      </c>
      <c r="M79" s="5" t="str">
        <f t="shared" ca="1" si="15"/>
        <v>No</v>
      </c>
      <c r="N79">
        <f t="shared" ca="1" si="16"/>
        <v>14</v>
      </c>
      <c r="O79" t="str">
        <f t="shared" ca="1" si="17"/>
        <v>Mining</v>
      </c>
    </row>
    <row r="80" spans="8:15" x14ac:dyDescent="0.25">
      <c r="H80" t="s">
        <v>86</v>
      </c>
      <c r="I80" t="str">
        <f ca="1">CONCATENATE(RANDBETWEEN(10000,99999),"-",RANDBETWEEN(10,99),UPPER(MID(Table1[[#This Row],[Asset]],2,2)))</f>
        <v>30082-93ND</v>
      </c>
      <c r="J80" s="2">
        <f t="shared" ca="1" si="12"/>
        <v>41761</v>
      </c>
      <c r="K80" s="3">
        <f t="shared" ca="1" si="13"/>
        <v>52.52</v>
      </c>
      <c r="L80" s="4">
        <f t="shared" ca="1" si="14"/>
        <v>71.63</v>
      </c>
      <c r="M80" s="5" t="str">
        <f t="shared" ca="1" si="15"/>
        <v>Yes</v>
      </c>
      <c r="N80">
        <f t="shared" ca="1" si="16"/>
        <v>4</v>
      </c>
      <c r="O80" t="str">
        <f t="shared" ca="1" si="17"/>
        <v>Minecrafting</v>
      </c>
    </row>
    <row r="81" spans="8:15" x14ac:dyDescent="0.25">
      <c r="H81" t="s">
        <v>87</v>
      </c>
      <c r="I81" t="str">
        <f ca="1">CONCATENATE(RANDBETWEEN(10000,99999),"-",RANDBETWEEN(10,99),UPPER(MID(Table1[[#This Row],[Asset]],2,2)))</f>
        <v>22580-26ND</v>
      </c>
      <c r="J81" s="2">
        <f t="shared" ca="1" si="12"/>
        <v>41730</v>
      </c>
      <c r="K81" s="3">
        <f t="shared" ca="1" si="13"/>
        <v>45.43</v>
      </c>
      <c r="L81" s="4">
        <f t="shared" ca="1" si="14"/>
        <v>-27.06</v>
      </c>
      <c r="M81" s="5" t="str">
        <f t="shared" ca="1" si="15"/>
        <v>Yes</v>
      </c>
      <c r="N81">
        <f t="shared" ca="1" si="16"/>
        <v>17</v>
      </c>
      <c r="O81" t="str">
        <f t="shared" ca="1" si="17"/>
        <v>Mining</v>
      </c>
    </row>
    <row r="82" spans="8:15" x14ac:dyDescent="0.25">
      <c r="H82" t="s">
        <v>88</v>
      </c>
      <c r="I82" t="str">
        <f ca="1">CONCATENATE(RANDBETWEEN(10000,99999),"-",RANDBETWEEN(10,99),UPPER(MID(Table1[[#This Row],[Asset]],2,2)))</f>
        <v>10899-90ND</v>
      </c>
      <c r="J82" s="2">
        <f t="shared" ca="1" si="12"/>
        <v>41688</v>
      </c>
      <c r="K82" s="3">
        <f t="shared" ca="1" si="13"/>
        <v>12.88</v>
      </c>
      <c r="L82" s="4">
        <f t="shared" ca="1" si="14"/>
        <v>3.8</v>
      </c>
      <c r="M82" s="5" t="str">
        <f t="shared" ca="1" si="15"/>
        <v>No</v>
      </c>
      <c r="N82">
        <f t="shared" ca="1" si="16"/>
        <v>1</v>
      </c>
      <c r="O82" t="str">
        <f t="shared" ca="1" si="17"/>
        <v>Crafting</v>
      </c>
    </row>
    <row r="83" spans="8:15" x14ac:dyDescent="0.25">
      <c r="H83" t="s">
        <v>89</v>
      </c>
      <c r="I83" t="str">
        <f ca="1">CONCATENATE(RANDBETWEEN(10000,99999),"-",RANDBETWEEN(10,99),UPPER(MID(Table1[[#This Row],[Asset]],2,2)))</f>
        <v>22255-67RA</v>
      </c>
      <c r="J83" s="2">
        <f t="shared" ca="1" si="12"/>
        <v>41812</v>
      </c>
      <c r="K83" s="3">
        <f t="shared" ca="1" si="13"/>
        <v>67.87</v>
      </c>
      <c r="L83" s="4">
        <f t="shared" ca="1" si="14"/>
        <v>-48.9</v>
      </c>
      <c r="M83" s="5" t="str">
        <f t="shared" ca="1" si="15"/>
        <v>Yes</v>
      </c>
      <c r="N83">
        <f t="shared" ca="1" si="16"/>
        <v>20</v>
      </c>
      <c r="O83" t="str">
        <f t="shared" ca="1" si="17"/>
        <v>Minecrafting</v>
      </c>
    </row>
    <row r="84" spans="8:15" x14ac:dyDescent="0.25">
      <c r="H84" t="s">
        <v>90</v>
      </c>
      <c r="I84" t="str">
        <f ca="1">CONCATENATE(RANDBETWEEN(10000,99999),"-",RANDBETWEEN(10,99),UPPER(MID(Table1[[#This Row],[Asset]],2,2)))</f>
        <v>49683-95ED</v>
      </c>
      <c r="J84" s="2">
        <f t="shared" ca="1" si="12"/>
        <v>41799</v>
      </c>
      <c r="K84" s="3">
        <f t="shared" ca="1" si="13"/>
        <v>124</v>
      </c>
      <c r="L84" s="4">
        <f t="shared" ca="1" si="14"/>
        <v>24.3</v>
      </c>
      <c r="M84" s="5" t="str">
        <f t="shared" ca="1" si="15"/>
        <v>Yes</v>
      </c>
      <c r="N84">
        <f t="shared" ca="1" si="16"/>
        <v>2</v>
      </c>
      <c r="O84" t="str">
        <f t="shared" ca="1" si="17"/>
        <v>Crafting</v>
      </c>
    </row>
    <row r="85" spans="8:15" x14ac:dyDescent="0.25">
      <c r="H85" t="s">
        <v>91</v>
      </c>
      <c r="I85" t="str">
        <f ca="1">CONCATENATE(RANDBETWEEN(10000,99999),"-",RANDBETWEEN(10,99),UPPER(MID(Table1[[#This Row],[Asset]],2,2)))</f>
        <v>98533-56ED</v>
      </c>
      <c r="J85" s="2">
        <f t="shared" ca="1" si="12"/>
        <v>41633</v>
      </c>
      <c r="K85" s="3">
        <f t="shared" ca="1" si="13"/>
        <v>17.239999999999998</v>
      </c>
      <c r="L85" s="4">
        <f t="shared" ca="1" si="14"/>
        <v>73.92</v>
      </c>
      <c r="M85" s="5" t="str">
        <f t="shared" ca="1" si="15"/>
        <v>No</v>
      </c>
      <c r="N85">
        <f t="shared" ca="1" si="16"/>
        <v>17</v>
      </c>
      <c r="O85" t="str">
        <f t="shared" ca="1" si="17"/>
        <v>Crafting</v>
      </c>
    </row>
    <row r="86" spans="8:15" x14ac:dyDescent="0.25">
      <c r="H86" t="s">
        <v>92</v>
      </c>
      <c r="I86" t="str">
        <f ca="1">CONCATENATE(RANDBETWEEN(10000,99999),"-",RANDBETWEEN(10,99),UPPER(MID(Table1[[#This Row],[Asset]],2,2)))</f>
        <v>89316-70OU</v>
      </c>
      <c r="J86" s="2">
        <f t="shared" ca="1" si="12"/>
        <v>41635</v>
      </c>
      <c r="K86" s="3">
        <f t="shared" ca="1" si="13"/>
        <v>10.08</v>
      </c>
      <c r="L86" s="4">
        <f t="shared" ca="1" si="14"/>
        <v>28.49</v>
      </c>
      <c r="M86" s="5" t="str">
        <f t="shared" ca="1" si="15"/>
        <v>No</v>
      </c>
      <c r="N86">
        <f t="shared" ca="1" si="16"/>
        <v>7</v>
      </c>
      <c r="O86" t="str">
        <f t="shared" ca="1" si="17"/>
        <v>Mining</v>
      </c>
    </row>
    <row r="87" spans="8:15" x14ac:dyDescent="0.25">
      <c r="H87" t="s">
        <v>93</v>
      </c>
      <c r="I87" t="str">
        <f ca="1">CONCATENATE(RANDBETWEEN(10000,99999),"-",RANDBETWEEN(10,99),UPPER(MID(Table1[[#This Row],[Asset]],2,2)))</f>
        <v>76702-32OU</v>
      </c>
      <c r="J87" s="2">
        <f t="shared" ca="1" si="12"/>
        <v>41812</v>
      </c>
      <c r="K87" s="3">
        <f t="shared" ca="1" si="13"/>
        <v>76.11</v>
      </c>
      <c r="L87" s="4">
        <f t="shared" ca="1" si="14"/>
        <v>-18.95</v>
      </c>
      <c r="M87" s="5" t="str">
        <f t="shared" ca="1" si="15"/>
        <v>Yes</v>
      </c>
      <c r="N87">
        <f t="shared" ca="1" si="16"/>
        <v>12</v>
      </c>
      <c r="O87" t="str">
        <f t="shared" ca="1" si="17"/>
        <v>Mining</v>
      </c>
    </row>
    <row r="88" spans="8:15" x14ac:dyDescent="0.25">
      <c r="H88" t="s">
        <v>94</v>
      </c>
      <c r="I88" t="str">
        <f ca="1">CONCATENATE(RANDBETWEEN(10000,99999),"-",RANDBETWEEN(10,99),UPPER(MID(Table1[[#This Row],[Asset]],2,2)))</f>
        <v>98525-56OU</v>
      </c>
      <c r="J88" s="2">
        <f t="shared" ca="1" si="12"/>
        <v>41800</v>
      </c>
      <c r="K88" s="3">
        <f t="shared" ca="1" si="13"/>
        <v>124.94</v>
      </c>
      <c r="L88" s="4">
        <f t="shared" ca="1" si="14"/>
        <v>38.6</v>
      </c>
      <c r="M88" s="5" t="str">
        <f t="shared" ca="1" si="15"/>
        <v>Yes</v>
      </c>
      <c r="N88">
        <f t="shared" ca="1" si="16"/>
        <v>9</v>
      </c>
      <c r="O88" t="str">
        <f t="shared" ca="1" si="17"/>
        <v>Minecrafting</v>
      </c>
    </row>
    <row r="89" spans="8:15" x14ac:dyDescent="0.25">
      <c r="H89" t="s">
        <v>95</v>
      </c>
      <c r="I89" t="str">
        <f ca="1">CONCATENATE(RANDBETWEEN(10000,99999),"-",RANDBETWEEN(10,99),UPPER(MID(Table1[[#This Row],[Asset]],2,2)))</f>
        <v>14700-51OU</v>
      </c>
      <c r="J89" s="2">
        <f t="shared" ca="1" si="12"/>
        <v>41757</v>
      </c>
      <c r="K89" s="3">
        <f t="shared" ca="1" si="13"/>
        <v>138.74</v>
      </c>
      <c r="L89" s="4">
        <f t="shared" ca="1" si="14"/>
        <v>11.81</v>
      </c>
      <c r="M89" s="5" t="str">
        <f t="shared" ca="1" si="15"/>
        <v>Yes</v>
      </c>
      <c r="N89">
        <f t="shared" ca="1" si="16"/>
        <v>1</v>
      </c>
      <c r="O89" t="str">
        <f t="shared" ca="1" si="17"/>
        <v>Minecrafting</v>
      </c>
    </row>
    <row r="90" spans="8:15" x14ac:dyDescent="0.25">
      <c r="H90" t="s">
        <v>96</v>
      </c>
      <c r="I90" t="str">
        <f ca="1">CONCATENATE(RANDBETWEEN(10000,99999),"-",RANDBETWEEN(10,99),UPPER(MID(Table1[[#This Row],[Asset]],2,2)))</f>
        <v>70441-35OU</v>
      </c>
      <c r="J90" s="2">
        <f t="shared" ca="1" si="12"/>
        <v>41627</v>
      </c>
      <c r="K90" s="3">
        <f t="shared" ca="1" si="13"/>
        <v>26.7</v>
      </c>
      <c r="L90" s="4">
        <f t="shared" ca="1" si="14"/>
        <v>44.14</v>
      </c>
      <c r="M90" s="5" t="str">
        <f t="shared" ca="1" si="15"/>
        <v>Yes</v>
      </c>
      <c r="N90">
        <f t="shared" ca="1" si="16"/>
        <v>9</v>
      </c>
      <c r="O90" t="str">
        <f t="shared" ca="1" si="17"/>
        <v>Crafting</v>
      </c>
    </row>
    <row r="91" spans="8:15" x14ac:dyDescent="0.25">
      <c r="H91" t="s">
        <v>97</v>
      </c>
      <c r="I91" t="str">
        <f ca="1">CONCATENATE(RANDBETWEEN(10000,99999),"-",RANDBETWEEN(10,99),UPPER(MID(Table1[[#This Row],[Asset]],2,2)))</f>
        <v>97143-61OU</v>
      </c>
      <c r="J91" s="2">
        <f t="shared" ca="1" si="12"/>
        <v>41620</v>
      </c>
      <c r="K91" s="3">
        <f t="shared" ca="1" si="13"/>
        <v>94.7</v>
      </c>
      <c r="L91" s="4">
        <f t="shared" ca="1" si="14"/>
        <v>47.79</v>
      </c>
      <c r="M91" s="5" t="str">
        <f t="shared" ca="1" si="15"/>
        <v>Yes</v>
      </c>
      <c r="N91">
        <f t="shared" ca="1" si="16"/>
        <v>12</v>
      </c>
      <c r="O91" t="str">
        <f t="shared" ca="1" si="17"/>
        <v>Crafting</v>
      </c>
    </row>
    <row r="92" spans="8:15" x14ac:dyDescent="0.25">
      <c r="H92" t="s">
        <v>98</v>
      </c>
      <c r="I92" t="str">
        <f ca="1">CONCATENATE(RANDBETWEEN(10000,99999),"-",RANDBETWEEN(10,99),UPPER(MID(Table1[[#This Row],[Asset]],2,2)))</f>
        <v>27925-80AK</v>
      </c>
      <c r="J92" s="2">
        <f t="shared" ca="1" si="12"/>
        <v>41765</v>
      </c>
      <c r="K92" s="3">
        <f t="shared" ca="1" si="13"/>
        <v>37.92</v>
      </c>
      <c r="L92" s="4">
        <f t="shared" ca="1" si="14"/>
        <v>3.82</v>
      </c>
      <c r="M92" s="5" t="str">
        <f t="shared" ca="1" si="15"/>
        <v>Yes</v>
      </c>
      <c r="N92">
        <f t="shared" ca="1" si="16"/>
        <v>3</v>
      </c>
      <c r="O92" t="str">
        <f t="shared" ca="1" si="17"/>
        <v>Mining</v>
      </c>
    </row>
    <row r="93" spans="8:15" x14ac:dyDescent="0.25">
      <c r="H93" t="s">
        <v>99</v>
      </c>
      <c r="I93" t="str">
        <f ca="1">CONCATENATE(RANDBETWEEN(10000,99999),"-",RANDBETWEEN(10,99),UPPER(MID(Table1[[#This Row],[Asset]],2,2)))</f>
        <v>90412-84PR</v>
      </c>
      <c r="J93" s="2">
        <f t="shared" ca="1" si="12"/>
        <v>41689</v>
      </c>
      <c r="K93" s="3">
        <f t="shared" ca="1" si="13"/>
        <v>62.64</v>
      </c>
      <c r="L93" s="4">
        <f t="shared" ca="1" si="14"/>
        <v>63.39</v>
      </c>
      <c r="M93" s="5" t="str">
        <f t="shared" ca="1" si="15"/>
        <v>No</v>
      </c>
      <c r="N93">
        <f t="shared" ca="1" si="16"/>
        <v>17</v>
      </c>
      <c r="O93" t="str">
        <f t="shared" ca="1" si="17"/>
        <v>Mining</v>
      </c>
    </row>
    <row r="94" spans="8:15" x14ac:dyDescent="0.25">
      <c r="H94" t="s">
        <v>100</v>
      </c>
      <c r="I94" t="str">
        <f ca="1">CONCATENATE(RANDBETWEEN(10000,99999),"-",RANDBETWEEN(10,99),UPPER(MID(Table1[[#This Row],[Asset]],2,2)))</f>
        <v>55894-34IR</v>
      </c>
      <c r="J94" s="2">
        <f t="shared" ca="1" si="12"/>
        <v>41660</v>
      </c>
      <c r="K94" s="3">
        <f t="shared" ca="1" si="13"/>
        <v>13.23</v>
      </c>
      <c r="L94" s="4">
        <f t="shared" ca="1" si="14"/>
        <v>-31.96</v>
      </c>
      <c r="M94" s="5" t="str">
        <f t="shared" ca="1" si="15"/>
        <v>No</v>
      </c>
      <c r="N94">
        <f t="shared" ca="1" si="16"/>
        <v>12</v>
      </c>
      <c r="O94" t="str">
        <f t="shared" ca="1" si="17"/>
        <v>Mining</v>
      </c>
    </row>
    <row r="95" spans="8:15" x14ac:dyDescent="0.25">
      <c r="H95" t="s">
        <v>101</v>
      </c>
      <c r="I95" t="str">
        <f ca="1">CONCATENATE(RANDBETWEEN(10000,99999),"-",RANDBETWEEN(10,99),UPPER(MID(Table1[[#This Row],[Asset]],2,2)))</f>
        <v>75674-89UN</v>
      </c>
      <c r="J95" s="2">
        <f t="shared" ca="1" si="12"/>
        <v>41835</v>
      </c>
      <c r="K95" s="3">
        <f t="shared" ca="1" si="13"/>
        <v>32.200000000000003</v>
      </c>
      <c r="L95" s="4">
        <f t="shared" ca="1" si="14"/>
        <v>-30.56</v>
      </c>
      <c r="M95" s="5" t="str">
        <f t="shared" ca="1" si="15"/>
        <v>Yes</v>
      </c>
      <c r="N95">
        <f t="shared" ca="1" si="16"/>
        <v>5</v>
      </c>
      <c r="O95" t="str">
        <f t="shared" ca="1" si="17"/>
        <v>Minecrafting</v>
      </c>
    </row>
    <row r="96" spans="8:15" x14ac:dyDescent="0.25">
      <c r="H96" t="s">
        <v>102</v>
      </c>
      <c r="I96" t="str">
        <f ca="1">CONCATENATE(RANDBETWEEN(10000,99999),"-",RANDBETWEEN(10,99),UPPER(MID(Table1[[#This Row],[Asset]],2,2)))</f>
        <v>31851-55CA</v>
      </c>
      <c r="J96" s="2">
        <f t="shared" ca="1" si="12"/>
        <v>41768</v>
      </c>
      <c r="K96" s="3">
        <f t="shared" ca="1" si="13"/>
        <v>132.34</v>
      </c>
      <c r="L96" s="4">
        <f t="shared" ca="1" si="14"/>
        <v>-21.47</v>
      </c>
      <c r="M96" s="5" t="str">
        <f t="shared" ca="1" si="15"/>
        <v>Yes</v>
      </c>
      <c r="N96">
        <f t="shared" ca="1" si="16"/>
        <v>1</v>
      </c>
      <c r="O96" t="str">
        <f t="shared" ca="1" si="17"/>
        <v>Mining</v>
      </c>
    </row>
    <row r="97" spans="8:15" x14ac:dyDescent="0.25">
      <c r="H97" t="s">
        <v>103</v>
      </c>
      <c r="I97" t="str">
        <f ca="1">CONCATENATE(RANDBETWEEN(10000,99999),"-",RANDBETWEEN(10,99),UPPER(MID(Table1[[#This Row],[Asset]],2,2)))</f>
        <v>37134-67AR</v>
      </c>
      <c r="J97" s="2">
        <f t="shared" ca="1" si="12"/>
        <v>41629</v>
      </c>
      <c r="K97" s="3">
        <f t="shared" ca="1" si="13"/>
        <v>41.27</v>
      </c>
      <c r="L97" s="4">
        <f t="shared" ca="1" si="14"/>
        <v>-22.79</v>
      </c>
      <c r="M97" s="5" t="str">
        <f t="shared" ca="1" si="15"/>
        <v>No</v>
      </c>
      <c r="N97">
        <f t="shared" ca="1" si="16"/>
        <v>19</v>
      </c>
      <c r="O97" t="str">
        <f t="shared" ca="1" si="17"/>
        <v>Mining</v>
      </c>
    </row>
    <row r="98" spans="8:15" x14ac:dyDescent="0.25">
      <c r="H98" t="s">
        <v>104</v>
      </c>
      <c r="I98" t="str">
        <f ca="1">CONCATENATE(RANDBETWEEN(10000,99999),"-",RANDBETWEEN(10,99),UPPER(MID(Table1[[#This Row],[Asset]],2,2)))</f>
        <v>14963-49OC</v>
      </c>
      <c r="J98" s="2">
        <f t="shared" ca="1" si="12"/>
        <v>41743</v>
      </c>
      <c r="K98" s="3">
        <f t="shared" ca="1" si="13"/>
        <v>81.069999999999993</v>
      </c>
      <c r="L98" s="4">
        <f t="shared" ca="1" si="14"/>
        <v>31.2</v>
      </c>
      <c r="M98" s="5" t="str">
        <f t="shared" ca="1" si="15"/>
        <v>Yes</v>
      </c>
      <c r="N98">
        <f t="shared" ca="1" si="16"/>
        <v>12</v>
      </c>
      <c r="O98" t="str">
        <f t="shared" ca="1" si="17"/>
        <v>Mining</v>
      </c>
    </row>
    <row r="99" spans="8:15" x14ac:dyDescent="0.25">
      <c r="H99" t="s">
        <v>105</v>
      </c>
      <c r="I99" t="str">
        <f ca="1">CONCATENATE(RANDBETWEEN(10000,99999),"-",RANDBETWEEN(10,99),UPPER(MID(Table1[[#This Row],[Asset]],2,2)))</f>
        <v>21842-96AN</v>
      </c>
      <c r="J99" s="2">
        <f t="shared" ref="J99:J130" ca="1" si="18">RANDBETWEEN(41600,41840)</f>
        <v>41788</v>
      </c>
      <c r="K99" s="3">
        <f t="shared" ref="K99:K130" ca="1" si="19">RANDBETWEEN(1000,15000)/100</f>
        <v>91.38</v>
      </c>
      <c r="L99" s="4">
        <f t="shared" ref="L99:L130" ca="1" si="20">RANDBETWEEN(-5000,8000)/100</f>
        <v>23.82</v>
      </c>
      <c r="M99" s="5" t="str">
        <f t="shared" ref="M99:M130" ca="1" si="21">IF(RAND()&gt;0.5,"Yes","No")</f>
        <v>Yes</v>
      </c>
      <c r="N99">
        <f t="shared" ref="N99:N130" ca="1" si="22">RANDBETWEEN(1,20)</f>
        <v>19</v>
      </c>
      <c r="O99" t="str">
        <f t="shared" ref="O99:O130" ca="1" si="23">IF(RAND()&gt;0.5,"Mining",IF(RAND()&gt;0.4,"Crafting","Minecrafting"))</f>
        <v>Mining</v>
      </c>
    </row>
    <row r="100" spans="8:15" x14ac:dyDescent="0.25">
      <c r="H100" t="s">
        <v>106</v>
      </c>
      <c r="I100" t="str">
        <f ca="1">CONCATENATE(RANDBETWEEN(10000,99999),"-",RANDBETWEEN(10,99),UPPER(MID(Table1[[#This Row],[Asset]],2,2)))</f>
        <v>32376-91ME</v>
      </c>
      <c r="J100" s="2">
        <f t="shared" ca="1" si="18"/>
        <v>41764</v>
      </c>
      <c r="K100" s="3">
        <f t="shared" ca="1" si="19"/>
        <v>78.819999999999993</v>
      </c>
      <c r="L100" s="4">
        <f t="shared" ca="1" si="20"/>
        <v>44.1</v>
      </c>
      <c r="M100" s="5" t="str">
        <f t="shared" ca="1" si="21"/>
        <v>No</v>
      </c>
      <c r="N100">
        <f t="shared" ca="1" si="22"/>
        <v>4</v>
      </c>
      <c r="O100" t="str">
        <f t="shared" ca="1" si="23"/>
        <v>Mining</v>
      </c>
    </row>
    <row r="101" spans="8:15" x14ac:dyDescent="0.25">
      <c r="H101" t="s">
        <v>107</v>
      </c>
      <c r="I101" t="str">
        <f ca="1">CONCATENATE(RANDBETWEEN(10000,99999),"-",RANDBETWEEN(10,99),UPPER(MID(Table1[[#This Row],[Asset]],2,2)))</f>
        <v>81115-22ND</v>
      </c>
      <c r="J101" s="2">
        <f t="shared" ca="1" si="18"/>
        <v>41723</v>
      </c>
      <c r="K101" s="3">
        <f t="shared" ca="1" si="19"/>
        <v>32.81</v>
      </c>
      <c r="L101" s="4">
        <f t="shared" ca="1" si="20"/>
        <v>78.150000000000006</v>
      </c>
      <c r="M101" s="5" t="str">
        <f t="shared" ca="1" si="21"/>
        <v>No</v>
      </c>
      <c r="N101">
        <f t="shared" ca="1" si="22"/>
        <v>9</v>
      </c>
      <c r="O101" t="str">
        <f t="shared" ca="1" si="23"/>
        <v>Minecrafting</v>
      </c>
    </row>
    <row r="102" spans="8:15" x14ac:dyDescent="0.25">
      <c r="H102" t="s">
        <v>108</v>
      </c>
      <c r="I102" t="str">
        <f ca="1">CONCATENATE(RANDBETWEEN(10000,99999),"-",RANDBETWEEN(10,99),UPPER(MID(Table1[[#This Row],[Asset]],2,2)))</f>
        <v>55640-68RI</v>
      </c>
      <c r="J102" s="2">
        <f t="shared" ca="1" si="18"/>
        <v>41807</v>
      </c>
      <c r="K102" s="3">
        <f t="shared" ca="1" si="19"/>
        <v>122.45</v>
      </c>
      <c r="L102" s="4">
        <f t="shared" ca="1" si="20"/>
        <v>24.24</v>
      </c>
      <c r="M102" s="5" t="str">
        <f t="shared" ca="1" si="21"/>
        <v>Yes</v>
      </c>
      <c r="N102">
        <f t="shared" ca="1" si="22"/>
        <v>8</v>
      </c>
      <c r="O102" t="str">
        <f t="shared" ca="1" si="23"/>
        <v>Crafting</v>
      </c>
    </row>
    <row r="103" spans="8:15" x14ac:dyDescent="0.25">
      <c r="H103" t="s">
        <v>109</v>
      </c>
      <c r="I103" t="str">
        <f ca="1">CONCATENATE(RANDBETWEEN(10000,99999),"-",RANDBETWEEN(10,99),UPPER(MID(Table1[[#This Row],[Asset]],2,2)))</f>
        <v>69882-88RI</v>
      </c>
      <c r="J103" s="2">
        <f t="shared" ca="1" si="18"/>
        <v>41676</v>
      </c>
      <c r="K103" s="3">
        <f t="shared" ca="1" si="19"/>
        <v>148.75</v>
      </c>
      <c r="L103" s="4">
        <f t="shared" ca="1" si="20"/>
        <v>44.16</v>
      </c>
      <c r="M103" s="5" t="str">
        <f t="shared" ca="1" si="21"/>
        <v>Yes</v>
      </c>
      <c r="N103">
        <f t="shared" ca="1" si="22"/>
        <v>12</v>
      </c>
      <c r="O103" t="str">
        <f t="shared" ca="1" si="23"/>
        <v>Mining</v>
      </c>
    </row>
    <row r="104" spans="8:15" x14ac:dyDescent="0.25">
      <c r="H104" t="s">
        <v>110</v>
      </c>
      <c r="I104" t="str">
        <f ca="1">CONCATENATE(RANDBETWEEN(10000,99999),"-",RANDBETWEEN(10,99),UPPER(MID(Table1[[#This Row],[Asset]],2,2)))</f>
        <v>70549-71ME</v>
      </c>
      <c r="J104" s="2">
        <f t="shared" ca="1" si="18"/>
        <v>41780</v>
      </c>
      <c r="K104" s="3">
        <f t="shared" ca="1" si="19"/>
        <v>121.89</v>
      </c>
      <c r="L104" s="4">
        <f t="shared" ca="1" si="20"/>
        <v>17.07</v>
      </c>
      <c r="M104" s="5" t="str">
        <f t="shared" ca="1" si="21"/>
        <v>No</v>
      </c>
      <c r="N104">
        <f t="shared" ca="1" si="22"/>
        <v>3</v>
      </c>
      <c r="O104" t="str">
        <f t="shared" ca="1" si="23"/>
        <v>Crafting</v>
      </c>
    </row>
    <row r="105" spans="8:15" x14ac:dyDescent="0.25">
      <c r="H105" t="s">
        <v>111</v>
      </c>
      <c r="I105" t="str">
        <f ca="1">CONCATENATE(RANDBETWEEN(10000,99999),"-",RANDBETWEEN(10,99),UPPER(MID(Table1[[#This Row],[Asset]],2,2)))</f>
        <v>11282-82PR</v>
      </c>
      <c r="J105" s="2">
        <f t="shared" ca="1" si="18"/>
        <v>41621</v>
      </c>
      <c r="K105" s="3">
        <f t="shared" ca="1" si="19"/>
        <v>69.849999999999994</v>
      </c>
      <c r="L105" s="4">
        <f t="shared" ca="1" si="20"/>
        <v>29.16</v>
      </c>
      <c r="M105" s="5" t="str">
        <f t="shared" ca="1" si="21"/>
        <v>No</v>
      </c>
      <c r="N105">
        <f t="shared" ca="1" si="22"/>
        <v>4</v>
      </c>
      <c r="O105" t="str">
        <f t="shared" ca="1" si="23"/>
        <v>Mining</v>
      </c>
    </row>
    <row r="106" spans="8:15" x14ac:dyDescent="0.25">
      <c r="H106" t="s">
        <v>112</v>
      </c>
      <c r="I106" t="str">
        <f ca="1">CONCATENATE(RANDBETWEEN(10000,99999),"-",RANDBETWEEN(10,99),UPPER(MID(Table1[[#This Row],[Asset]],2,2)))</f>
        <v>17798-43IR</v>
      </c>
      <c r="J106" s="2">
        <f t="shared" ca="1" si="18"/>
        <v>41808</v>
      </c>
      <c r="K106" s="3">
        <f t="shared" ca="1" si="19"/>
        <v>43.45</v>
      </c>
      <c r="L106" s="4">
        <f t="shared" ca="1" si="20"/>
        <v>-2.13</v>
      </c>
      <c r="M106" s="5" t="str">
        <f t="shared" ca="1" si="21"/>
        <v>No</v>
      </c>
      <c r="N106">
        <f t="shared" ca="1" si="22"/>
        <v>20</v>
      </c>
      <c r="O106" t="str">
        <f t="shared" ca="1" si="23"/>
        <v>Mining</v>
      </c>
    </row>
    <row r="107" spans="8:15" x14ac:dyDescent="0.25">
      <c r="H107" t="s">
        <v>113</v>
      </c>
      <c r="I107" t="str">
        <f ca="1">CONCATENATE(RANDBETWEEN(10000,99999),"-",RANDBETWEEN(10,99),UPPER(MID(Table1[[#This Row],[Asset]],2,2)))</f>
        <v>54430-93UN</v>
      </c>
      <c r="J107" s="2">
        <f t="shared" ca="1" si="18"/>
        <v>41732</v>
      </c>
      <c r="K107" s="3">
        <f t="shared" ca="1" si="19"/>
        <v>82.54</v>
      </c>
      <c r="L107" s="4">
        <f t="shared" ca="1" si="20"/>
        <v>46.54</v>
      </c>
      <c r="M107" s="5" t="str">
        <f t="shared" ca="1" si="21"/>
        <v>Yes</v>
      </c>
      <c r="N107">
        <f t="shared" ca="1" si="22"/>
        <v>1</v>
      </c>
      <c r="O107" t="str">
        <f t="shared" ca="1" si="23"/>
        <v>Crafting</v>
      </c>
    </row>
    <row r="108" spans="8:15" x14ac:dyDescent="0.25">
      <c r="H108" t="s">
        <v>114</v>
      </c>
      <c r="I108" t="str">
        <f ca="1">CONCATENATE(RANDBETWEEN(10000,99999),"-",RANDBETWEEN(10,99),UPPER(MID(Table1[[#This Row],[Asset]],2,2)))</f>
        <v>26696-82OM</v>
      </c>
      <c r="J108" s="2">
        <f t="shared" ca="1" si="18"/>
        <v>41758</v>
      </c>
      <c r="K108" s="3">
        <f t="shared" ca="1" si="19"/>
        <v>81.36</v>
      </c>
      <c r="L108" s="4">
        <f t="shared" ca="1" si="20"/>
        <v>-43.32</v>
      </c>
      <c r="M108" s="5" t="str">
        <f t="shared" ca="1" si="21"/>
        <v>Yes</v>
      </c>
      <c r="N108">
        <f t="shared" ca="1" si="22"/>
        <v>19</v>
      </c>
      <c r="O108" t="str">
        <f t="shared" ca="1" si="23"/>
        <v>Crafting</v>
      </c>
    </row>
    <row r="109" spans="8:15" x14ac:dyDescent="0.25">
      <c r="H109" t="s">
        <v>115</v>
      </c>
      <c r="I109" t="str">
        <f ca="1">CONCATENATE(RANDBETWEEN(10000,99999),"-",RANDBETWEEN(10,99),UPPER(MID(Table1[[#This Row],[Asset]],2,2)))</f>
        <v>20076-88EA</v>
      </c>
      <c r="J109" s="2">
        <f t="shared" ca="1" si="18"/>
        <v>41711</v>
      </c>
      <c r="K109" s="3">
        <f t="shared" ca="1" si="19"/>
        <v>80.77</v>
      </c>
      <c r="L109" s="4">
        <f t="shared" ca="1" si="20"/>
        <v>17.87</v>
      </c>
      <c r="M109" s="5" t="str">
        <f t="shared" ca="1" si="21"/>
        <v>No</v>
      </c>
      <c r="N109">
        <f t="shared" ca="1" si="22"/>
        <v>17</v>
      </c>
      <c r="O109" t="str">
        <f t="shared" ca="1" si="23"/>
        <v>Mining</v>
      </c>
    </row>
    <row r="110" spans="8:15" x14ac:dyDescent="0.25">
      <c r="H110" t="s">
        <v>116</v>
      </c>
      <c r="I110" t="str">
        <f ca="1">CONCATENATE(RANDBETWEEN(10000,99999),"-",RANDBETWEEN(10,99),UPPER(MID(Table1[[#This Row],[Asset]],2,2)))</f>
        <v>53461-45OB</v>
      </c>
      <c r="J110" s="2">
        <f t="shared" ca="1" si="18"/>
        <v>41642</v>
      </c>
      <c r="K110" s="3">
        <f t="shared" ca="1" si="19"/>
        <v>101.2</v>
      </c>
      <c r="L110" s="4">
        <f t="shared" ca="1" si="20"/>
        <v>76.260000000000005</v>
      </c>
      <c r="M110" s="5" t="str">
        <f t="shared" ca="1" si="21"/>
        <v>Yes</v>
      </c>
      <c r="N110">
        <f t="shared" ca="1" si="22"/>
        <v>20</v>
      </c>
      <c r="O110" t="str">
        <f t="shared" ca="1" si="23"/>
        <v>Mining</v>
      </c>
    </row>
    <row r="111" spans="8:15" x14ac:dyDescent="0.25">
      <c r="H111" t="s">
        <v>117</v>
      </c>
      <c r="I111" t="str">
        <f ca="1">CONCATENATE(RANDBETWEEN(10000,99999),"-",RANDBETWEEN(10,99),UPPER(MID(Table1[[#This Row],[Asset]],2,2)))</f>
        <v>48365-24OS</v>
      </c>
      <c r="J111" s="2">
        <f t="shared" ca="1" si="18"/>
        <v>41830</v>
      </c>
      <c r="K111" s="3">
        <f t="shared" ca="1" si="19"/>
        <v>134.66</v>
      </c>
      <c r="L111" s="4">
        <f t="shared" ca="1" si="20"/>
        <v>-47.99</v>
      </c>
      <c r="M111" s="5" t="str">
        <f t="shared" ca="1" si="21"/>
        <v>No</v>
      </c>
      <c r="N111">
        <f t="shared" ca="1" si="22"/>
        <v>12</v>
      </c>
      <c r="O111" t="str">
        <f t="shared" ca="1" si="23"/>
        <v>Mining</v>
      </c>
    </row>
    <row r="112" spans="8:15" x14ac:dyDescent="0.25">
      <c r="H112" t="s">
        <v>118</v>
      </c>
      <c r="I112" t="str">
        <f ca="1">CONCATENATE(RANDBETWEEN(10000,99999),"-",RANDBETWEEN(10,99),UPPER(MID(Table1[[#This Row],[Asset]],2,2)))</f>
        <v>93669-73LO</v>
      </c>
      <c r="J112" s="2">
        <f t="shared" ca="1" si="18"/>
        <v>41827</v>
      </c>
      <c r="K112" s="3">
        <f t="shared" ca="1" si="19"/>
        <v>144.53</v>
      </c>
      <c r="L112" s="4">
        <f t="shared" ca="1" si="20"/>
        <v>-7.66</v>
      </c>
      <c r="M112" s="5" t="str">
        <f t="shared" ca="1" si="21"/>
        <v>Yes</v>
      </c>
      <c r="N112">
        <f t="shared" ca="1" si="22"/>
        <v>6</v>
      </c>
      <c r="O112" t="str">
        <f t="shared" ca="1" si="23"/>
        <v>Mining</v>
      </c>
    </row>
    <row r="113" spans="8:15" x14ac:dyDescent="0.25">
      <c r="H113" t="s">
        <v>119</v>
      </c>
      <c r="I113" t="str">
        <f ca="1">CONCATENATE(RANDBETWEEN(10000,99999),"-",RANDBETWEEN(10,99),UPPER(MID(Table1[[#This Row],[Asset]],2,2)))</f>
        <v>39819-14AR</v>
      </c>
      <c r="J113" s="2">
        <f t="shared" ca="1" si="18"/>
        <v>41778</v>
      </c>
      <c r="K113" s="3">
        <f t="shared" ca="1" si="19"/>
        <v>141.88999999999999</v>
      </c>
      <c r="L113" s="4">
        <f t="shared" ca="1" si="20"/>
        <v>5.83</v>
      </c>
      <c r="M113" s="5" t="str">
        <f t="shared" ca="1" si="21"/>
        <v>Yes</v>
      </c>
      <c r="N113">
        <f t="shared" ca="1" si="22"/>
        <v>14</v>
      </c>
      <c r="O113" t="str">
        <f t="shared" ca="1" si="23"/>
        <v>Minecrafting</v>
      </c>
    </row>
    <row r="114" spans="8:15" x14ac:dyDescent="0.25">
      <c r="H114" t="s">
        <v>120</v>
      </c>
      <c r="I114" t="str">
        <f ca="1">CONCATENATE(RANDBETWEEN(10000,99999),"-",RANDBETWEEN(10,99),UPPER(MID(Table1[[#This Row],[Asset]],2,2)))</f>
        <v>14044-23OT</v>
      </c>
      <c r="J114" s="2">
        <f t="shared" ca="1" si="18"/>
        <v>41622</v>
      </c>
      <c r="K114" s="3">
        <f t="shared" ca="1" si="19"/>
        <v>106.04</v>
      </c>
      <c r="L114" s="4">
        <f t="shared" ca="1" si="20"/>
        <v>-36.619999999999997</v>
      </c>
      <c r="M114" s="5" t="str">
        <f t="shared" ca="1" si="21"/>
        <v>Yes</v>
      </c>
      <c r="N114">
        <f t="shared" ca="1" si="22"/>
        <v>8</v>
      </c>
      <c r="O114" t="str">
        <f t="shared" ca="1" si="23"/>
        <v>Crafting</v>
      </c>
    </row>
    <row r="115" spans="8:15" x14ac:dyDescent="0.25">
      <c r="H115" t="s">
        <v>121</v>
      </c>
      <c r="I115" t="str">
        <f ca="1">CONCATENATE(RANDBETWEEN(10000,99999),"-",RANDBETWEEN(10,99),UPPER(MID(Table1[[#This Row],[Asset]],2,2)))</f>
        <v>75121-42OO</v>
      </c>
      <c r="J115" s="2">
        <f t="shared" ca="1" si="18"/>
        <v>41759</v>
      </c>
      <c r="K115" s="3">
        <f t="shared" ca="1" si="19"/>
        <v>41.39</v>
      </c>
      <c r="L115" s="4">
        <f t="shared" ca="1" si="20"/>
        <v>19.95</v>
      </c>
      <c r="M115" s="5" t="str">
        <f t="shared" ca="1" si="21"/>
        <v>No</v>
      </c>
      <c r="N115">
        <f t="shared" ca="1" si="22"/>
        <v>20</v>
      </c>
      <c r="O115" t="str">
        <f t="shared" ca="1" si="23"/>
        <v>Mining</v>
      </c>
    </row>
    <row r="116" spans="8:15" x14ac:dyDescent="0.25">
      <c r="H116" t="s">
        <v>122</v>
      </c>
      <c r="I116" t="str">
        <f ca="1">CONCATENATE(RANDBETWEEN(10000,99999),"-",RANDBETWEEN(10,99),UPPER(MID(Table1[[#This Row],[Asset]],2,2)))</f>
        <v>93818-48OB</v>
      </c>
      <c r="J116" s="2">
        <f t="shared" ca="1" si="18"/>
        <v>41737</v>
      </c>
      <c r="K116" s="3">
        <f t="shared" ca="1" si="19"/>
        <v>47.64</v>
      </c>
      <c r="L116" s="4">
        <f t="shared" ca="1" si="20"/>
        <v>8.02</v>
      </c>
      <c r="M116" s="5" t="str">
        <f t="shared" ca="1" si="21"/>
        <v>No</v>
      </c>
      <c r="N116">
        <f t="shared" ca="1" si="22"/>
        <v>5</v>
      </c>
      <c r="O116" t="str">
        <f t="shared" ca="1" si="23"/>
        <v>Mining</v>
      </c>
    </row>
    <row r="117" spans="8:15" x14ac:dyDescent="0.25">
      <c r="H117" t="s">
        <v>123</v>
      </c>
      <c r="I117" t="str">
        <f ca="1">CONCATENATE(RANDBETWEEN(10000,99999),"-",RANDBETWEEN(10,99),UPPER(MID(Table1[[#This Row],[Asset]],2,2)))</f>
        <v>57048-92NV</v>
      </c>
      <c r="J117" s="2">
        <f t="shared" ca="1" si="18"/>
        <v>41624</v>
      </c>
      <c r="K117" s="3">
        <f t="shared" ca="1" si="19"/>
        <v>115.81</v>
      </c>
      <c r="L117" s="4">
        <f t="shared" ca="1" si="20"/>
        <v>-33.270000000000003</v>
      </c>
      <c r="M117" s="5" t="str">
        <f t="shared" ca="1" si="21"/>
        <v>Yes</v>
      </c>
      <c r="N117">
        <f t="shared" ca="1" si="22"/>
        <v>2</v>
      </c>
      <c r="O117" t="str">
        <f t="shared" ca="1" si="23"/>
        <v>Minecrafting</v>
      </c>
    </row>
    <row r="118" spans="8:15" x14ac:dyDescent="0.25">
      <c r="H118" t="s">
        <v>124</v>
      </c>
      <c r="I118" t="str">
        <f ca="1">CONCATENATE(RANDBETWEEN(10000,99999),"-",RANDBETWEEN(10,99),UPPER(MID(Table1[[#This Row],[Asset]],2,2)))</f>
        <v>78796-70RA</v>
      </c>
      <c r="J118" s="2">
        <f t="shared" ca="1" si="18"/>
        <v>41807</v>
      </c>
      <c r="K118" s="3">
        <f t="shared" ca="1" si="19"/>
        <v>56.9</v>
      </c>
      <c r="L118" s="4">
        <f t="shared" ca="1" si="20"/>
        <v>29.31</v>
      </c>
      <c r="M118" s="5" t="str">
        <f t="shared" ca="1" si="21"/>
        <v>No</v>
      </c>
      <c r="N118">
        <f t="shared" ca="1" si="22"/>
        <v>11</v>
      </c>
      <c r="O118" t="str">
        <f t="shared" ca="1" si="23"/>
        <v>Minecrafting</v>
      </c>
    </row>
    <row r="119" spans="8:15" x14ac:dyDescent="0.25">
      <c r="H119" t="s">
        <v>125</v>
      </c>
      <c r="I119" t="str">
        <f ca="1">CONCATENATE(RANDBETWEEN(10000,99999),"-",RANDBETWEEN(10,99),UPPER(MID(Table1[[#This Row],[Asset]],2,2)))</f>
        <v>90529-53EI</v>
      </c>
      <c r="J119" s="2">
        <f t="shared" ca="1" si="18"/>
        <v>41801</v>
      </c>
      <c r="K119" s="3">
        <f t="shared" ca="1" si="19"/>
        <v>87.67</v>
      </c>
      <c r="L119" s="4">
        <f t="shared" ca="1" si="20"/>
        <v>30.2</v>
      </c>
      <c r="M119" s="5" t="str">
        <f t="shared" ca="1" si="21"/>
        <v>Yes</v>
      </c>
      <c r="N119">
        <f t="shared" ca="1" si="22"/>
        <v>15</v>
      </c>
      <c r="O119" t="str">
        <f t="shared" ca="1" si="23"/>
        <v>Mining</v>
      </c>
    </row>
    <row r="120" spans="8:15" x14ac:dyDescent="0.25">
      <c r="H120" t="s">
        <v>126</v>
      </c>
      <c r="I120" t="str">
        <f ca="1">CONCATENATE(RANDBETWEEN(10000,99999),"-",RANDBETWEEN(10,99),UPPER(MID(Table1[[#This Row],[Asset]],2,2)))</f>
        <v>22087-97EI</v>
      </c>
      <c r="J120" s="2">
        <f t="shared" ca="1" si="18"/>
        <v>41705</v>
      </c>
      <c r="K120" s="3">
        <f t="shared" ca="1" si="19"/>
        <v>98.98</v>
      </c>
      <c r="L120" s="4">
        <f t="shared" ca="1" si="20"/>
        <v>-13.55</v>
      </c>
      <c r="M120" s="5" t="str">
        <f t="shared" ca="1" si="21"/>
        <v>Yes</v>
      </c>
      <c r="N120">
        <f t="shared" ca="1" si="22"/>
        <v>7</v>
      </c>
      <c r="O120" t="str">
        <f t="shared" ca="1" si="23"/>
        <v>Crafting</v>
      </c>
    </row>
    <row r="121" spans="8:15" x14ac:dyDescent="0.25">
      <c r="H121" t="s">
        <v>127</v>
      </c>
      <c r="I121" t="str">
        <f ca="1">CONCATENATE(RANDBETWEEN(10000,99999),"-",RANDBETWEEN(10,99),UPPER(MID(Table1[[#This Row],[Asset]],2,2)))</f>
        <v>87018-53ED</v>
      </c>
      <c r="J121" s="2">
        <f t="shared" ca="1" si="18"/>
        <v>41640</v>
      </c>
      <c r="K121" s="3">
        <f t="shared" ca="1" si="19"/>
        <v>141.62</v>
      </c>
      <c r="L121" s="4">
        <f t="shared" ca="1" si="20"/>
        <v>65.56</v>
      </c>
      <c r="M121" s="5" t="str">
        <f t="shared" ca="1" si="21"/>
        <v>No</v>
      </c>
      <c r="N121">
        <f t="shared" ca="1" si="22"/>
        <v>4</v>
      </c>
      <c r="O121" t="str">
        <f t="shared" ca="1" si="23"/>
        <v>Minecrafting</v>
      </c>
    </row>
    <row r="122" spans="8:15" x14ac:dyDescent="0.25">
      <c r="H122" t="s">
        <v>128</v>
      </c>
      <c r="I122" t="str">
        <f ca="1">CONCATENATE(RANDBETWEEN(10000,99999),"-",RANDBETWEEN(10,99),UPPER(MID(Table1[[#This Row],[Asset]],2,2)))</f>
        <v>76778-85ED</v>
      </c>
      <c r="J122" s="2">
        <f t="shared" ca="1" si="18"/>
        <v>41618</v>
      </c>
      <c r="K122" s="3">
        <f t="shared" ca="1" si="19"/>
        <v>141.19</v>
      </c>
      <c r="L122" s="4">
        <f t="shared" ca="1" si="20"/>
        <v>-29.31</v>
      </c>
      <c r="M122" s="5" t="str">
        <f t="shared" ca="1" si="21"/>
        <v>Yes</v>
      </c>
      <c r="N122">
        <f t="shared" ca="1" si="22"/>
        <v>5</v>
      </c>
      <c r="O122" t="str">
        <f t="shared" ca="1" si="23"/>
        <v>Crafting</v>
      </c>
    </row>
    <row r="123" spans="8:15" x14ac:dyDescent="0.25">
      <c r="H123" t="s">
        <v>129</v>
      </c>
      <c r="I123" t="str">
        <f ca="1">CONCATENATE(RANDBETWEEN(10000,99999),"-",RANDBETWEEN(10,99),UPPER(MID(Table1[[#This Row],[Asset]],2,2)))</f>
        <v>96495-15AY</v>
      </c>
      <c r="J123" s="2">
        <f t="shared" ca="1" si="18"/>
        <v>41787</v>
      </c>
      <c r="K123" s="3">
        <f t="shared" ca="1" si="19"/>
        <v>119.93</v>
      </c>
      <c r="L123" s="4">
        <f t="shared" ca="1" si="20"/>
        <v>-37.44</v>
      </c>
      <c r="M123" s="5" t="str">
        <f t="shared" ca="1" si="21"/>
        <v>Yes</v>
      </c>
      <c r="N123">
        <f t="shared" ca="1" si="22"/>
        <v>12</v>
      </c>
      <c r="O123" t="str">
        <f t="shared" ca="1" si="23"/>
        <v>Crafting</v>
      </c>
    </row>
    <row r="124" spans="8:15" x14ac:dyDescent="0.25">
      <c r="H124" t="s">
        <v>130</v>
      </c>
      <c r="I124" t="str">
        <f ca="1">CONCATENATE(RANDBETWEEN(10000,99999),"-",RANDBETWEEN(10,99),UPPER(MID(Table1[[#This Row],[Asset]],2,2)))</f>
        <v>47890-55ED</v>
      </c>
      <c r="J124" s="2">
        <f t="shared" ca="1" si="18"/>
        <v>41792</v>
      </c>
      <c r="K124" s="3">
        <f t="shared" ca="1" si="19"/>
        <v>85.87</v>
      </c>
      <c r="L124" s="4">
        <f t="shared" ca="1" si="20"/>
        <v>-44.6</v>
      </c>
      <c r="M124" s="5" t="str">
        <f t="shared" ca="1" si="21"/>
        <v>No</v>
      </c>
      <c r="N124">
        <f t="shared" ca="1" si="22"/>
        <v>3</v>
      </c>
      <c r="O124" t="str">
        <f t="shared" ca="1" si="23"/>
        <v>Minecrafting</v>
      </c>
    </row>
    <row r="125" spans="8:15" x14ac:dyDescent="0.25">
      <c r="H125" t="s">
        <v>131</v>
      </c>
      <c r="I125" t="str">
        <f ca="1">CONCATENATE(RANDBETWEEN(10000,99999),"-",RANDBETWEEN(10,99),UPPER(MID(Table1[[#This Row],[Asset]],2,2)))</f>
        <v>18831-86ET</v>
      </c>
      <c r="J125" s="2">
        <f t="shared" ca="1" si="18"/>
        <v>41645</v>
      </c>
      <c r="K125" s="3">
        <f t="shared" ca="1" si="19"/>
        <v>82.28</v>
      </c>
      <c r="L125" s="4">
        <f t="shared" ca="1" si="20"/>
        <v>9.83</v>
      </c>
      <c r="M125" s="5" t="str">
        <f t="shared" ca="1" si="21"/>
        <v>Yes</v>
      </c>
      <c r="N125">
        <f t="shared" ca="1" si="22"/>
        <v>4</v>
      </c>
      <c r="O125" t="str">
        <f t="shared" ca="1" si="23"/>
        <v>Mining</v>
      </c>
    </row>
    <row r="126" spans="8:15" x14ac:dyDescent="0.25">
      <c r="H126" t="s">
        <v>132</v>
      </c>
      <c r="I126" t="str">
        <f ca="1">CONCATENATE(RANDBETWEEN(10000,99999),"-",RANDBETWEEN(10,99),UPPER(MID(Table1[[#This Row],[Asset]],2,2)))</f>
        <v>99899-60OP</v>
      </c>
      <c r="J126" s="2">
        <f t="shared" ca="1" si="18"/>
        <v>41743</v>
      </c>
      <c r="K126" s="3">
        <f t="shared" ca="1" si="19"/>
        <v>100.3</v>
      </c>
      <c r="L126" s="4">
        <f t="shared" ca="1" si="20"/>
        <v>46.62</v>
      </c>
      <c r="M126" s="5" t="str">
        <f t="shared" ca="1" si="21"/>
        <v>Yes</v>
      </c>
      <c r="N126">
        <f t="shared" ca="1" si="22"/>
        <v>13</v>
      </c>
      <c r="O126" t="str">
        <f t="shared" ca="1" si="23"/>
        <v>Mining</v>
      </c>
    </row>
    <row r="127" spans="8:15" x14ac:dyDescent="0.25">
      <c r="H127" t="s">
        <v>133</v>
      </c>
      <c r="I127" t="str">
        <f ca="1">CONCATENATE(RANDBETWEEN(10000,99999),"-",RANDBETWEEN(10,99),UPPER(MID(Table1[[#This Row],[Asset]],2,2)))</f>
        <v>45863-55UA</v>
      </c>
      <c r="J127" s="2">
        <f t="shared" ca="1" si="18"/>
        <v>41784</v>
      </c>
      <c r="K127" s="3">
        <f t="shared" ca="1" si="19"/>
        <v>106.73</v>
      </c>
      <c r="L127" s="4">
        <f t="shared" ca="1" si="20"/>
        <v>-15.73</v>
      </c>
      <c r="M127" s="5" t="str">
        <f t="shared" ca="1" si="21"/>
        <v>Yes</v>
      </c>
      <c r="N127">
        <f t="shared" ca="1" si="22"/>
        <v>1</v>
      </c>
      <c r="O127" t="str">
        <f t="shared" ca="1" si="23"/>
        <v>Crafting</v>
      </c>
    </row>
    <row r="128" spans="8:15" x14ac:dyDescent="0.25">
      <c r="H128" t="s">
        <v>134</v>
      </c>
      <c r="I128" t="str">
        <f ca="1">CONCATENATE(RANDBETWEEN(10000,99999),"-",RANDBETWEEN(10,99),UPPER(MID(Table1[[#This Row],[Asset]],2,2)))</f>
        <v>28206-68HI</v>
      </c>
      <c r="J128" s="2">
        <f t="shared" ca="1" si="18"/>
        <v>41640</v>
      </c>
      <c r="K128" s="3">
        <f t="shared" ca="1" si="19"/>
        <v>40.47</v>
      </c>
      <c r="L128" s="4">
        <f t="shared" ca="1" si="20"/>
        <v>38.5</v>
      </c>
      <c r="M128" s="5" t="str">
        <f t="shared" ca="1" si="21"/>
        <v>No</v>
      </c>
      <c r="N128">
        <f t="shared" ca="1" si="22"/>
        <v>12</v>
      </c>
      <c r="O128" t="str">
        <f t="shared" ca="1" si="23"/>
        <v>Mining</v>
      </c>
    </row>
    <row r="129" spans="8:15" x14ac:dyDescent="0.25">
      <c r="H129" t="s">
        <v>135</v>
      </c>
      <c r="I129" t="str">
        <f ca="1">CONCATENATE(RANDBETWEEN(10000,99999),"-",RANDBETWEEN(10,99),UPPER(MID(Table1[[#This Row],[Asset]],2,2)))</f>
        <v>91543-71IL</v>
      </c>
      <c r="J129" s="2">
        <f t="shared" ca="1" si="18"/>
        <v>41775</v>
      </c>
      <c r="K129" s="3">
        <f t="shared" ca="1" si="19"/>
        <v>72.900000000000006</v>
      </c>
      <c r="L129" s="4">
        <f t="shared" ca="1" si="20"/>
        <v>75.98</v>
      </c>
      <c r="M129" s="5" t="str">
        <f t="shared" ca="1" si="21"/>
        <v>Yes</v>
      </c>
      <c r="N129">
        <f t="shared" ca="1" si="22"/>
        <v>19</v>
      </c>
      <c r="O129" t="str">
        <f t="shared" ca="1" si="23"/>
        <v>Mining</v>
      </c>
    </row>
    <row r="130" spans="8:15" x14ac:dyDescent="0.25">
      <c r="H130" t="s">
        <v>136</v>
      </c>
      <c r="I130" t="str">
        <f ca="1">CONCATENATE(RANDBETWEEN(10000,99999),"-",RANDBETWEEN(10,99),UPPER(MID(Table1[[#This Row],[Asset]],2,2)))</f>
        <v>65717-10UA</v>
      </c>
      <c r="J130" s="2">
        <f t="shared" ca="1" si="18"/>
        <v>41724</v>
      </c>
      <c r="K130" s="3">
        <f t="shared" ca="1" si="19"/>
        <v>83.09</v>
      </c>
      <c r="L130" s="4">
        <f t="shared" ca="1" si="20"/>
        <v>47.63</v>
      </c>
      <c r="M130" s="5" t="str">
        <f t="shared" ca="1" si="21"/>
        <v>Yes</v>
      </c>
      <c r="N130">
        <f t="shared" ca="1" si="22"/>
        <v>12</v>
      </c>
      <c r="O130" t="str">
        <f t="shared" ca="1" si="23"/>
        <v>Crafting</v>
      </c>
    </row>
    <row r="131" spans="8:15" x14ac:dyDescent="0.25">
      <c r="H131" t="s">
        <v>137</v>
      </c>
      <c r="I131" t="str">
        <f ca="1">CONCATENATE(RANDBETWEEN(10000,99999),"-",RANDBETWEEN(10,99),UPPER(MID(Table1[[#This Row],[Asset]],2,2)))</f>
        <v>96488-22CT</v>
      </c>
      <c r="J131" s="2">
        <f t="shared" ref="J131:J162" ca="1" si="24">RANDBETWEEN(41600,41840)</f>
        <v>41776</v>
      </c>
      <c r="K131" s="3">
        <f t="shared" ref="K131:K162" ca="1" si="25">RANDBETWEEN(1000,15000)/100</f>
        <v>110.32</v>
      </c>
      <c r="L131" s="4">
        <f t="shared" ref="L131:L162" ca="1" si="26">RANDBETWEEN(-5000,8000)/100</f>
        <v>39.43</v>
      </c>
      <c r="M131" s="5" t="str">
        <f t="shared" ref="M131:M162" ca="1" si="27">IF(RAND()&gt;0.5,"Yes","No")</f>
        <v>No</v>
      </c>
      <c r="N131">
        <f t="shared" ref="N131:N162" ca="1" si="28">RANDBETWEEN(1,20)</f>
        <v>10</v>
      </c>
      <c r="O131" t="str">
        <f t="shared" ref="O131:O162" ca="1" si="29">IF(RAND()&gt;0.5,"Mining",IF(RAND()&gt;0.4,"Crafting","Minecrafting"))</f>
        <v>Crafting</v>
      </c>
    </row>
    <row r="132" spans="8:15" x14ac:dyDescent="0.25">
      <c r="H132" t="s">
        <v>138</v>
      </c>
      <c r="I132" t="str">
        <f ca="1">CONCATENATE(RANDBETWEEN(10000,99999),"-",RANDBETWEEN(10,99),UPPER(MID(Table1[[#This Row],[Asset]],2,2)))</f>
        <v>96481-13RO</v>
      </c>
      <c r="J132" s="2">
        <f t="shared" ca="1" si="24"/>
        <v>41814</v>
      </c>
      <c r="K132" s="3">
        <f t="shared" ca="1" si="25"/>
        <v>54.52</v>
      </c>
      <c r="L132" s="4">
        <f t="shared" ca="1" si="26"/>
        <v>-18.62</v>
      </c>
      <c r="M132" s="5" t="str">
        <f t="shared" ca="1" si="27"/>
        <v>No</v>
      </c>
      <c r="N132">
        <f t="shared" ca="1" si="28"/>
        <v>17</v>
      </c>
      <c r="O132" t="str">
        <f t="shared" ca="1" si="29"/>
        <v>Minecrafting</v>
      </c>
    </row>
    <row r="133" spans="8:15" x14ac:dyDescent="0.25">
      <c r="H133" t="s">
        <v>139</v>
      </c>
      <c r="I133" t="str">
        <f ca="1">CONCATENATE(RANDBETWEEN(10000,99999),"-",RANDBETWEEN(10,99),UPPER(MID(Table1[[#This Row],[Asset]],2,2)))</f>
        <v>93224-88HI</v>
      </c>
      <c r="J133" s="2">
        <f t="shared" ca="1" si="24"/>
        <v>41724</v>
      </c>
      <c r="K133" s="3">
        <f t="shared" ca="1" si="25"/>
        <v>88.08</v>
      </c>
      <c r="L133" s="4">
        <f t="shared" ca="1" si="26"/>
        <v>43.29</v>
      </c>
      <c r="M133" s="5" t="str">
        <f t="shared" ca="1" si="27"/>
        <v>Yes</v>
      </c>
      <c r="N133">
        <f t="shared" ca="1" si="28"/>
        <v>7</v>
      </c>
      <c r="O133" t="str">
        <f t="shared" ca="1" si="29"/>
        <v>Mining</v>
      </c>
    </row>
    <row r="134" spans="8:15" x14ac:dyDescent="0.25">
      <c r="H134" t="s">
        <v>140</v>
      </c>
      <c r="I134" t="str">
        <f ca="1">CONCATENATE(RANDBETWEEN(10000,99999),"-",RANDBETWEEN(10,99),UPPER(MID(Table1[[#This Row],[Asset]],2,2)))</f>
        <v>80077-20RA</v>
      </c>
      <c r="J134" s="2">
        <f t="shared" ca="1" si="24"/>
        <v>41731</v>
      </c>
      <c r="K134" s="3">
        <f t="shared" ca="1" si="25"/>
        <v>120.1</v>
      </c>
      <c r="L134" s="4">
        <f t="shared" ca="1" si="26"/>
        <v>13.85</v>
      </c>
      <c r="M134" s="5" t="str">
        <f t="shared" ca="1" si="27"/>
        <v>Yes</v>
      </c>
      <c r="N134">
        <f t="shared" ca="1" si="28"/>
        <v>2</v>
      </c>
      <c r="O134" t="str">
        <f t="shared" ca="1" si="29"/>
        <v>Mining</v>
      </c>
    </row>
    <row r="135" spans="8:15" x14ac:dyDescent="0.25">
      <c r="H135" t="s">
        <v>141</v>
      </c>
      <c r="I135" t="str">
        <f ca="1">CONCATENATE(RANDBETWEEN(10000,99999),"-",RANDBETWEEN(10,99),UPPER(MID(Table1[[#This Row],[Asset]],2,2)))</f>
        <v>50149-43AG</v>
      </c>
      <c r="J135" s="2">
        <f t="shared" ca="1" si="24"/>
        <v>41610</v>
      </c>
      <c r="K135" s="3">
        <f t="shared" ca="1" si="25"/>
        <v>96.74</v>
      </c>
      <c r="L135" s="4">
        <f t="shared" ca="1" si="26"/>
        <v>59.65</v>
      </c>
      <c r="M135" s="5" t="str">
        <f t="shared" ca="1" si="27"/>
        <v>Yes</v>
      </c>
      <c r="N135">
        <f t="shared" ca="1" si="28"/>
        <v>19</v>
      </c>
      <c r="O135" t="str">
        <f t="shared" ca="1" si="29"/>
        <v>Mining</v>
      </c>
    </row>
    <row r="136" spans="8:15" x14ac:dyDescent="0.25">
      <c r="H136" t="s">
        <v>142</v>
      </c>
      <c r="I136" t="str">
        <f ca="1">CONCATENATE(RANDBETWEEN(10000,99999),"-",RANDBETWEEN(10,99),UPPER(MID(Table1[[#This Row],[Asset]],2,2)))</f>
        <v>49160-16IG</v>
      </c>
      <c r="J136" s="2">
        <f t="shared" ca="1" si="24"/>
        <v>41756</v>
      </c>
      <c r="K136" s="3">
        <f t="shared" ca="1" si="25"/>
        <v>39.71</v>
      </c>
      <c r="L136" s="4">
        <f t="shared" ca="1" si="26"/>
        <v>52.91</v>
      </c>
      <c r="M136" s="5" t="str">
        <f t="shared" ca="1" si="27"/>
        <v>Yes</v>
      </c>
      <c r="N136">
        <f t="shared" ca="1" si="28"/>
        <v>17</v>
      </c>
      <c r="O136" t="str">
        <f t="shared" ca="1" si="29"/>
        <v>Mining</v>
      </c>
    </row>
    <row r="137" spans="8:15" x14ac:dyDescent="0.25">
      <c r="H137" t="s">
        <v>143</v>
      </c>
      <c r="I137" t="str">
        <f ca="1">CONCATENATE(RANDBETWEEN(10000,99999),"-",RANDBETWEEN(10,99),UPPER(MID(Table1[[#This Row],[Asset]],2,2)))</f>
        <v>83053-96EL</v>
      </c>
      <c r="J137" s="2">
        <f t="shared" ca="1" si="24"/>
        <v>41763</v>
      </c>
      <c r="K137" s="3">
        <f t="shared" ca="1" si="25"/>
        <v>50.94</v>
      </c>
      <c r="L137" s="4">
        <f t="shared" ca="1" si="26"/>
        <v>-31.03</v>
      </c>
      <c r="M137" s="5" t="str">
        <f t="shared" ca="1" si="27"/>
        <v>Yes</v>
      </c>
      <c r="N137">
        <f t="shared" ca="1" si="28"/>
        <v>20</v>
      </c>
      <c r="O137" t="str">
        <f t="shared" ca="1" si="29"/>
        <v>Crafting</v>
      </c>
    </row>
    <row r="138" spans="8:15" x14ac:dyDescent="0.25">
      <c r="H138" t="s">
        <v>144</v>
      </c>
      <c r="I138" t="str">
        <f ca="1">CONCATENATE(RANDBETWEEN(10000,99999),"-",RANDBETWEEN(10,99),UPPER(MID(Table1[[#This Row],[Asset]],2,2)))</f>
        <v>69258-47IM</v>
      </c>
      <c r="J138" s="2">
        <f t="shared" ca="1" si="24"/>
        <v>41724</v>
      </c>
      <c r="K138" s="3">
        <f t="shared" ca="1" si="25"/>
        <v>66.45</v>
      </c>
      <c r="L138" s="4">
        <f t="shared" ca="1" si="26"/>
        <v>-31.6</v>
      </c>
      <c r="M138" s="5" t="str">
        <f t="shared" ca="1" si="27"/>
        <v>No</v>
      </c>
      <c r="N138">
        <f t="shared" ca="1" si="28"/>
        <v>20</v>
      </c>
      <c r="O138" t="str">
        <f t="shared" ca="1" si="29"/>
        <v>Mining</v>
      </c>
    </row>
    <row r="139" spans="8:15" x14ac:dyDescent="0.25">
      <c r="H139" t="s">
        <v>145</v>
      </c>
      <c r="I139" t="str">
        <f ca="1">CONCATENATE(RANDBETWEEN(10000,99999),"-",RANDBETWEEN(10,99),UPPER(MID(Table1[[#This Row],[Asset]],2,2)))</f>
        <v>40641-52IN</v>
      </c>
      <c r="J139" s="2">
        <f t="shared" ca="1" si="24"/>
        <v>41811</v>
      </c>
      <c r="K139" s="3">
        <f t="shared" ca="1" si="25"/>
        <v>40.26</v>
      </c>
      <c r="L139" s="4">
        <f t="shared" ca="1" si="26"/>
        <v>-20.5</v>
      </c>
      <c r="M139" s="5" t="str">
        <f t="shared" ca="1" si="27"/>
        <v>Yes</v>
      </c>
      <c r="N139">
        <f t="shared" ca="1" si="28"/>
        <v>12</v>
      </c>
      <c r="O139" t="str">
        <f t="shared" ca="1" si="29"/>
        <v>Mining</v>
      </c>
    </row>
    <row r="140" spans="8:15" x14ac:dyDescent="0.25">
      <c r="H140" t="s">
        <v>146</v>
      </c>
      <c r="I140" t="str">
        <f ca="1">CONCATENATE(RANDBETWEEN(10000,99999),"-",RANDBETWEEN(10,99),UPPER(MID(Table1[[#This Row],[Asset]],2,2)))</f>
        <v>53216-27RA</v>
      </c>
      <c r="J140" s="2">
        <f t="shared" ca="1" si="24"/>
        <v>41803</v>
      </c>
      <c r="K140" s="3">
        <f t="shared" ca="1" si="25"/>
        <v>30.36</v>
      </c>
      <c r="L140" s="4">
        <f t="shared" ca="1" si="26"/>
        <v>78.959999999999994</v>
      </c>
      <c r="M140" s="5" t="str">
        <f t="shared" ca="1" si="27"/>
        <v>Yes</v>
      </c>
      <c r="N140">
        <f t="shared" ca="1" si="28"/>
        <v>2</v>
      </c>
      <c r="O140" t="str">
        <f t="shared" ca="1" si="29"/>
        <v>Crafting</v>
      </c>
    </row>
    <row r="141" spans="8:15" x14ac:dyDescent="0.25">
      <c r="H141" t="s">
        <v>147</v>
      </c>
      <c r="I141" t="str">
        <f ca="1">CONCATENATE(RANDBETWEEN(10000,99999),"-",RANDBETWEEN(10,99),UPPER(MID(Table1[[#This Row],[Asset]],2,2)))</f>
        <v>98708-13IG</v>
      </c>
      <c r="J141" s="2">
        <f t="shared" ca="1" si="24"/>
        <v>41790</v>
      </c>
      <c r="K141" s="3">
        <f t="shared" ca="1" si="25"/>
        <v>142.07</v>
      </c>
      <c r="L141" s="4">
        <f t="shared" ca="1" si="26"/>
        <v>31.22</v>
      </c>
      <c r="M141" s="5" t="str">
        <f t="shared" ca="1" si="27"/>
        <v>No</v>
      </c>
      <c r="N141">
        <f t="shared" ca="1" si="28"/>
        <v>3</v>
      </c>
      <c r="O141" t="str">
        <f t="shared" ca="1" si="29"/>
        <v>Mining</v>
      </c>
    </row>
    <row r="142" spans="8:15" x14ac:dyDescent="0.25">
      <c r="H142" t="s">
        <v>148</v>
      </c>
      <c r="I142" t="str">
        <f ca="1">CONCATENATE(RANDBETWEEN(10000,99999),"-",RANDBETWEEN(10,99),UPPER(MID(Table1[[#This Row],[Asset]],2,2)))</f>
        <v>79935-61YA</v>
      </c>
      <c r="J142" s="2">
        <f t="shared" ca="1" si="24"/>
        <v>41800</v>
      </c>
      <c r="K142" s="3">
        <f t="shared" ca="1" si="25"/>
        <v>105.27</v>
      </c>
      <c r="L142" s="4">
        <f t="shared" ca="1" si="26"/>
        <v>64.03</v>
      </c>
      <c r="M142" s="5" t="str">
        <f t="shared" ca="1" si="27"/>
        <v>Yes</v>
      </c>
      <c r="N142">
        <f t="shared" ca="1" si="28"/>
        <v>14</v>
      </c>
      <c r="O142" t="str">
        <f t="shared" ca="1" si="29"/>
        <v>Mining</v>
      </c>
    </row>
    <row r="143" spans="8:15" x14ac:dyDescent="0.25">
      <c r="H143" t="s">
        <v>149</v>
      </c>
      <c r="I143" t="str">
        <f ca="1">CONCATENATE(RANDBETWEEN(10000,99999),"-",RANDBETWEEN(10,99),UPPER(MID(Table1[[#This Row],[Asset]],2,2)))</f>
        <v>18221-99UR</v>
      </c>
      <c r="J143" s="2">
        <f t="shared" ca="1" si="24"/>
        <v>41771</v>
      </c>
      <c r="K143" s="3">
        <f t="shared" ca="1" si="25"/>
        <v>148.29</v>
      </c>
      <c r="L143" s="4">
        <f t="shared" ca="1" si="26"/>
        <v>35.270000000000003</v>
      </c>
      <c r="M143" s="5" t="str">
        <f t="shared" ca="1" si="27"/>
        <v>No</v>
      </c>
      <c r="N143">
        <f t="shared" ca="1" si="28"/>
        <v>13</v>
      </c>
      <c r="O143" t="str">
        <f t="shared" ca="1" si="29"/>
        <v>Crafting</v>
      </c>
    </row>
    <row r="144" spans="8:15" x14ac:dyDescent="0.25">
      <c r="H144" t="s">
        <v>150</v>
      </c>
      <c r="I144" t="str">
        <f ca="1">CONCATENATE(RANDBETWEEN(10000,99999),"-",RANDBETWEEN(10,99),UPPER(MID(Table1[[#This Row],[Asset]],2,2)))</f>
        <v>65664-13LU</v>
      </c>
      <c r="J144" s="2">
        <f t="shared" ca="1" si="24"/>
        <v>41751</v>
      </c>
      <c r="K144" s="3">
        <f t="shared" ca="1" si="25"/>
        <v>72.819999999999993</v>
      </c>
      <c r="L144" s="4">
        <f t="shared" ca="1" si="26"/>
        <v>13.43</v>
      </c>
      <c r="M144" s="5" t="str">
        <f t="shared" ca="1" si="27"/>
        <v>No</v>
      </c>
      <c r="N144">
        <f t="shared" ca="1" si="28"/>
        <v>2</v>
      </c>
      <c r="O144" t="str">
        <f t="shared" ca="1" si="29"/>
        <v>Crafting</v>
      </c>
    </row>
    <row r="145" spans="8:15" x14ac:dyDescent="0.25">
      <c r="H145" t="s">
        <v>151</v>
      </c>
      <c r="I145" t="str">
        <f ca="1">CONCATENATE(RANDBETWEEN(10000,99999),"-",RANDBETWEEN(10,99),UPPER(MID(Table1[[#This Row],[Asset]],2,2)))</f>
        <v>38968-74RO</v>
      </c>
      <c r="J145" s="2">
        <f t="shared" ca="1" si="24"/>
        <v>41612</v>
      </c>
      <c r="K145" s="3">
        <f t="shared" ca="1" si="25"/>
        <v>76.48</v>
      </c>
      <c r="L145" s="4">
        <f t="shared" ca="1" si="26"/>
        <v>-38.42</v>
      </c>
      <c r="M145" s="5" t="str">
        <f t="shared" ca="1" si="27"/>
        <v>No</v>
      </c>
      <c r="N145">
        <f t="shared" ca="1" si="28"/>
        <v>8</v>
      </c>
      <c r="O145" t="str">
        <f t="shared" ca="1" si="29"/>
        <v>Mining</v>
      </c>
    </row>
    <row r="146" spans="8:15" x14ac:dyDescent="0.25">
      <c r="H146" t="s">
        <v>152</v>
      </c>
      <c r="I146" t="str">
        <f ca="1">CONCATENATE(RANDBETWEEN(10000,99999),"-",RANDBETWEEN(10,99),UPPER(MID(Table1[[#This Row],[Asset]],2,2)))</f>
        <v>55912-19RE</v>
      </c>
      <c r="J146" s="2">
        <f t="shared" ca="1" si="24"/>
        <v>41685</v>
      </c>
      <c r="K146" s="3">
        <f t="shared" ca="1" si="25"/>
        <v>130.21</v>
      </c>
      <c r="L146" s="4">
        <f t="shared" ca="1" si="26"/>
        <v>72.97</v>
      </c>
      <c r="M146" s="5" t="str">
        <f t="shared" ca="1" si="27"/>
        <v>Yes</v>
      </c>
      <c r="N146">
        <f t="shared" ca="1" si="28"/>
        <v>1</v>
      </c>
      <c r="O146" t="str">
        <f t="shared" ca="1" si="29"/>
        <v>Crafting</v>
      </c>
    </row>
    <row r="147" spans="8:15" x14ac:dyDescent="0.25">
      <c r="H147" t="s">
        <v>153</v>
      </c>
      <c r="I147" t="str">
        <f ca="1">CONCATENATE(RANDBETWEEN(10000,99999),"-",RANDBETWEEN(10,99),UPPER(MID(Table1[[#This Row],[Asset]],2,2)))</f>
        <v>12791-85ED</v>
      </c>
      <c r="J147" s="2">
        <f t="shared" ca="1" si="24"/>
        <v>41673</v>
      </c>
      <c r="K147" s="3">
        <f t="shared" ca="1" si="25"/>
        <v>26.19</v>
      </c>
      <c r="L147" s="4">
        <f t="shared" ca="1" si="26"/>
        <v>56.55</v>
      </c>
      <c r="M147" s="5" t="str">
        <f t="shared" ca="1" si="27"/>
        <v>No</v>
      </c>
      <c r="N147">
        <f t="shared" ca="1" si="28"/>
        <v>15</v>
      </c>
      <c r="O147" t="str">
        <f t="shared" ca="1" si="29"/>
        <v>Mining</v>
      </c>
    </row>
    <row r="148" spans="8:15" x14ac:dyDescent="0.25">
      <c r="H148" t="s">
        <v>154</v>
      </c>
      <c r="I148" t="str">
        <f ca="1">CONCATENATE(RANDBETWEEN(10000,99999),"-",RANDBETWEEN(10,99),UPPER(MID(Table1[[#This Row],[Asset]],2,2)))</f>
        <v>90782-60LA</v>
      </c>
      <c r="J148" s="2">
        <f t="shared" ca="1" si="24"/>
        <v>41792</v>
      </c>
      <c r="K148" s="3">
        <f t="shared" ca="1" si="25"/>
        <v>69.709999999999994</v>
      </c>
      <c r="L148" s="4">
        <f t="shared" ca="1" si="26"/>
        <v>12.82</v>
      </c>
      <c r="M148" s="5" t="str">
        <f t="shared" ca="1" si="27"/>
        <v>Yes</v>
      </c>
      <c r="N148">
        <f t="shared" ca="1" si="28"/>
        <v>8</v>
      </c>
      <c r="O148" t="str">
        <f t="shared" ca="1" si="29"/>
        <v>Mining</v>
      </c>
    </row>
    <row r="149" spans="8:15" x14ac:dyDescent="0.25">
      <c r="H149" t="s">
        <v>155</v>
      </c>
      <c r="I149" t="str">
        <f ca="1">CONCATENATE(RANDBETWEEN(10000,99999),"-",RANDBETWEEN(10,99),UPPER(MID(Table1[[#This Row],[Asset]],2,2)))</f>
        <v>65645-42HI</v>
      </c>
      <c r="J149" s="2">
        <f t="shared" ca="1" si="24"/>
        <v>41707</v>
      </c>
      <c r="K149" s="3">
        <f t="shared" ca="1" si="25"/>
        <v>48.37</v>
      </c>
      <c r="L149" s="4">
        <f t="shared" ca="1" si="26"/>
        <v>-18.420000000000002</v>
      </c>
      <c r="M149" s="5" t="str">
        <f t="shared" ca="1" si="27"/>
        <v>No</v>
      </c>
      <c r="N149">
        <f t="shared" ca="1" si="28"/>
        <v>18</v>
      </c>
      <c r="O149" t="str">
        <f t="shared" ca="1" si="29"/>
        <v>Crafting</v>
      </c>
    </row>
    <row r="150" spans="8:15" x14ac:dyDescent="0.25">
      <c r="H150" t="s">
        <v>156</v>
      </c>
      <c r="I150" t="str">
        <f ca="1">CONCATENATE(RANDBETWEEN(10000,99999),"-",RANDBETWEEN(10,99),UPPER(MID(Table1[[#This Row],[Asset]],2,2)))</f>
        <v>55391-59RA</v>
      </c>
      <c r="J150" s="2">
        <f t="shared" ca="1" si="24"/>
        <v>41672</v>
      </c>
      <c r="K150" s="3">
        <f t="shared" ca="1" si="25"/>
        <v>24.57</v>
      </c>
      <c r="L150" s="4">
        <f t="shared" ca="1" si="26"/>
        <v>-23.52</v>
      </c>
      <c r="M150" s="5" t="str">
        <f t="shared" ca="1" si="27"/>
        <v>Yes</v>
      </c>
      <c r="N150">
        <f t="shared" ca="1" si="28"/>
        <v>11</v>
      </c>
      <c r="O150" t="str">
        <f t="shared" ca="1" si="29"/>
        <v>Minecrafting</v>
      </c>
    </row>
    <row r="151" spans="8:15" x14ac:dyDescent="0.25">
      <c r="H151" t="s">
        <v>157</v>
      </c>
      <c r="I151" t="str">
        <f ca="1">CONCATENATE(RANDBETWEEN(10000,99999),"-",RANDBETWEEN(10,99),UPPER(MID(Table1[[#This Row],[Asset]],2,2)))</f>
        <v>99643-74AG</v>
      </c>
      <c r="J151" s="2">
        <f t="shared" ca="1" si="24"/>
        <v>41772</v>
      </c>
      <c r="K151" s="3">
        <f t="shared" ca="1" si="25"/>
        <v>31.73</v>
      </c>
      <c r="L151" s="4">
        <f t="shared" ca="1" si="26"/>
        <v>31.83</v>
      </c>
      <c r="M151" s="5" t="str">
        <f t="shared" ca="1" si="27"/>
        <v>No</v>
      </c>
      <c r="N151">
        <f t="shared" ca="1" si="28"/>
        <v>15</v>
      </c>
      <c r="O151" t="str">
        <f t="shared" ca="1" si="29"/>
        <v>Crafting</v>
      </c>
    </row>
    <row r="152" spans="8:15" x14ac:dyDescent="0.25">
      <c r="H152" t="s">
        <v>158</v>
      </c>
      <c r="I152" t="str">
        <f ca="1">CONCATENATE(RANDBETWEEN(10000,99999),"-",RANDBETWEEN(10,99),UPPER(MID(Table1[[#This Row],[Asset]],2,2)))</f>
        <v>51835-61IG</v>
      </c>
      <c r="J152" s="2">
        <f t="shared" ca="1" si="24"/>
        <v>41754</v>
      </c>
      <c r="K152" s="3">
        <f t="shared" ca="1" si="25"/>
        <v>130.26</v>
      </c>
      <c r="L152" s="4">
        <f t="shared" ca="1" si="26"/>
        <v>-9.6</v>
      </c>
      <c r="M152" s="5" t="str">
        <f t="shared" ca="1" si="27"/>
        <v>No</v>
      </c>
      <c r="N152">
        <f t="shared" ca="1" si="28"/>
        <v>6</v>
      </c>
      <c r="O152" t="str">
        <f t="shared" ca="1" si="29"/>
        <v>Crafting</v>
      </c>
    </row>
    <row r="153" spans="8:15" x14ac:dyDescent="0.25">
      <c r="H153" t="s">
        <v>159</v>
      </c>
      <c r="I153" t="str">
        <f ca="1">CONCATENATE(RANDBETWEEN(10000,99999),"-",RANDBETWEEN(10,99),UPPER(MID(Table1[[#This Row],[Asset]],2,2)))</f>
        <v>48925-44EL</v>
      </c>
      <c r="J153" s="2">
        <f t="shared" ca="1" si="24"/>
        <v>41680</v>
      </c>
      <c r="K153" s="3">
        <f t="shared" ca="1" si="25"/>
        <v>140.78</v>
      </c>
      <c r="L153" s="4">
        <f t="shared" ca="1" si="26"/>
        <v>43.11</v>
      </c>
      <c r="M153" s="5" t="str">
        <f t="shared" ca="1" si="27"/>
        <v>No</v>
      </c>
      <c r="N153">
        <f t="shared" ca="1" si="28"/>
        <v>12</v>
      </c>
      <c r="O153" t="str">
        <f t="shared" ca="1" si="29"/>
        <v>Minecrafting</v>
      </c>
    </row>
    <row r="154" spans="8:15" x14ac:dyDescent="0.25">
      <c r="H154" t="s">
        <v>160</v>
      </c>
      <c r="I154" t="str">
        <f ca="1">CONCATENATE(RANDBETWEEN(10000,99999),"-",RANDBETWEEN(10,99),UPPER(MID(Table1[[#This Row],[Asset]],2,2)))</f>
        <v>45308-27IM</v>
      </c>
      <c r="J154" s="2">
        <f t="shared" ca="1" si="24"/>
        <v>41689</v>
      </c>
      <c r="K154" s="3">
        <f t="shared" ca="1" si="25"/>
        <v>31.59</v>
      </c>
      <c r="L154" s="4">
        <f t="shared" ca="1" si="26"/>
        <v>29.93</v>
      </c>
      <c r="M154" s="5" t="str">
        <f t="shared" ca="1" si="27"/>
        <v>Yes</v>
      </c>
      <c r="N154">
        <f t="shared" ca="1" si="28"/>
        <v>5</v>
      </c>
      <c r="O154" t="str">
        <f t="shared" ca="1" si="29"/>
        <v>Crafting</v>
      </c>
    </row>
    <row r="155" spans="8:15" x14ac:dyDescent="0.25">
      <c r="H155" t="s">
        <v>161</v>
      </c>
      <c r="I155" t="str">
        <f ca="1">CONCATENATE(RANDBETWEEN(10000,99999),"-",RANDBETWEEN(10,99),UPPER(MID(Table1[[#This Row],[Asset]],2,2)))</f>
        <v>66592-19IN</v>
      </c>
      <c r="J155" s="2">
        <f t="shared" ca="1" si="24"/>
        <v>41740</v>
      </c>
      <c r="K155" s="3">
        <f t="shared" ca="1" si="25"/>
        <v>108.02</v>
      </c>
      <c r="L155" s="4">
        <f t="shared" ca="1" si="26"/>
        <v>-6.67</v>
      </c>
      <c r="M155" s="5" t="str">
        <f t="shared" ca="1" si="27"/>
        <v>No</v>
      </c>
      <c r="N155">
        <f t="shared" ca="1" si="28"/>
        <v>19</v>
      </c>
      <c r="O155" t="str">
        <f t="shared" ca="1" si="29"/>
        <v>Crafting</v>
      </c>
    </row>
    <row r="156" spans="8:15" x14ac:dyDescent="0.25">
      <c r="H156" t="s">
        <v>162</v>
      </c>
      <c r="I156" t="str">
        <f ca="1">CONCATENATE(RANDBETWEEN(10000,99999),"-",RANDBETWEEN(10,99),UPPER(MID(Table1[[#This Row],[Asset]],2,2)))</f>
        <v>56679-91RA</v>
      </c>
      <c r="J156" s="2">
        <f t="shared" ca="1" si="24"/>
        <v>41782</v>
      </c>
      <c r="K156" s="3">
        <f t="shared" ca="1" si="25"/>
        <v>80.69</v>
      </c>
      <c r="L156" s="4">
        <f t="shared" ca="1" si="26"/>
        <v>0.95</v>
      </c>
      <c r="M156" s="5" t="str">
        <f t="shared" ca="1" si="27"/>
        <v>No</v>
      </c>
      <c r="N156">
        <f t="shared" ca="1" si="28"/>
        <v>5</v>
      </c>
      <c r="O156" t="str">
        <f t="shared" ca="1" si="29"/>
        <v>Mining</v>
      </c>
    </row>
    <row r="157" spans="8:15" x14ac:dyDescent="0.25">
      <c r="H157" t="s">
        <v>163</v>
      </c>
      <c r="I157" t="str">
        <f ca="1">CONCATENATE(RANDBETWEEN(10000,99999),"-",RANDBETWEEN(10,99),UPPER(MID(Table1[[#This Row],[Asset]],2,2)))</f>
        <v>42775-76IG</v>
      </c>
      <c r="J157" s="2">
        <f t="shared" ca="1" si="24"/>
        <v>41800</v>
      </c>
      <c r="K157" s="3">
        <f t="shared" ca="1" si="25"/>
        <v>141.74</v>
      </c>
      <c r="L157" s="4">
        <f t="shared" ca="1" si="26"/>
        <v>67.650000000000006</v>
      </c>
      <c r="M157" s="5" t="str">
        <f t="shared" ca="1" si="27"/>
        <v>No</v>
      </c>
      <c r="N157">
        <f t="shared" ca="1" si="28"/>
        <v>5</v>
      </c>
      <c r="O157" t="str">
        <f t="shared" ca="1" si="29"/>
        <v>Crafting</v>
      </c>
    </row>
    <row r="158" spans="8:15" x14ac:dyDescent="0.25">
      <c r="H158" t="s">
        <v>164</v>
      </c>
      <c r="I158" t="str">
        <f ca="1">CONCATENATE(RANDBETWEEN(10000,99999),"-",RANDBETWEEN(10,99),UPPER(MID(Table1[[#This Row],[Asset]],2,2)))</f>
        <v>72139-85YA</v>
      </c>
      <c r="J158" s="2">
        <f t="shared" ca="1" si="24"/>
        <v>41699</v>
      </c>
      <c r="K158" s="3">
        <f t="shared" ca="1" si="25"/>
        <v>133.62</v>
      </c>
      <c r="L158" s="4">
        <f t="shared" ca="1" si="26"/>
        <v>67.790000000000006</v>
      </c>
      <c r="M158" s="5" t="str">
        <f t="shared" ca="1" si="27"/>
        <v>Yes</v>
      </c>
      <c r="N158">
        <f t="shared" ca="1" si="28"/>
        <v>9</v>
      </c>
      <c r="O158" t="str">
        <f t="shared" ca="1" si="29"/>
        <v>Mining</v>
      </c>
    </row>
    <row r="159" spans="8:15" x14ac:dyDescent="0.25">
      <c r="H159" t="s">
        <v>165</v>
      </c>
      <c r="I159" t="str">
        <f ca="1">CONCATENATE(RANDBETWEEN(10000,99999),"-",RANDBETWEEN(10,99),UPPER(MID(Table1[[#This Row],[Asset]],2,2)))</f>
        <v>41578-65UR</v>
      </c>
      <c r="J159" s="2">
        <f t="shared" ca="1" si="24"/>
        <v>41764</v>
      </c>
      <c r="K159" s="3">
        <f t="shared" ca="1" si="25"/>
        <v>134.08000000000001</v>
      </c>
      <c r="L159" s="4">
        <f t="shared" ca="1" si="26"/>
        <v>67.760000000000005</v>
      </c>
      <c r="M159" s="5" t="str">
        <f t="shared" ca="1" si="27"/>
        <v>No</v>
      </c>
      <c r="N159">
        <f t="shared" ca="1" si="28"/>
        <v>13</v>
      </c>
      <c r="O159" t="str">
        <f t="shared" ca="1" si="29"/>
        <v>Mining</v>
      </c>
    </row>
    <row r="160" spans="8:15" x14ac:dyDescent="0.25">
      <c r="H160" t="s">
        <v>166</v>
      </c>
      <c r="I160" t="str">
        <f ca="1">CONCATENATE(RANDBETWEEN(10000,99999),"-",RANDBETWEEN(10,99),UPPER(MID(Table1[[#This Row],[Asset]],2,2)))</f>
        <v>62009-72LU</v>
      </c>
      <c r="J160" s="2">
        <f t="shared" ca="1" si="24"/>
        <v>41705</v>
      </c>
      <c r="K160" s="3">
        <f t="shared" ca="1" si="25"/>
        <v>96.67</v>
      </c>
      <c r="L160" s="4">
        <f t="shared" ca="1" si="26"/>
        <v>49.06</v>
      </c>
      <c r="M160" s="5" t="str">
        <f t="shared" ca="1" si="27"/>
        <v>No</v>
      </c>
      <c r="N160">
        <f t="shared" ca="1" si="28"/>
        <v>2</v>
      </c>
      <c r="O160" t="str">
        <f t="shared" ca="1" si="29"/>
        <v>Mining</v>
      </c>
    </row>
    <row r="161" spans="8:15" x14ac:dyDescent="0.25">
      <c r="H161" t="s">
        <v>167</v>
      </c>
      <c r="I161" t="str">
        <f ca="1">CONCATENATE(RANDBETWEEN(10000,99999),"-",RANDBETWEEN(10,99),UPPER(MID(Table1[[#This Row],[Asset]],2,2)))</f>
        <v>18372-54RO</v>
      </c>
      <c r="J161" s="2">
        <f t="shared" ca="1" si="24"/>
        <v>41735</v>
      </c>
      <c r="K161" s="3">
        <f t="shared" ca="1" si="25"/>
        <v>149.65</v>
      </c>
      <c r="L161" s="4">
        <f t="shared" ca="1" si="26"/>
        <v>70.37</v>
      </c>
      <c r="M161" s="5" t="str">
        <f t="shared" ca="1" si="27"/>
        <v>Yes</v>
      </c>
      <c r="N161">
        <f t="shared" ca="1" si="28"/>
        <v>6</v>
      </c>
      <c r="O161" t="str">
        <f t="shared" ca="1" si="29"/>
        <v>Crafting</v>
      </c>
    </row>
    <row r="162" spans="8:15" x14ac:dyDescent="0.25">
      <c r="H162" t="s">
        <v>168</v>
      </c>
      <c r="I162" t="str">
        <f ca="1">CONCATENATE(RANDBETWEEN(10000,99999),"-",RANDBETWEEN(10,99),UPPER(MID(Table1[[#This Row],[Asset]],2,2)))</f>
        <v>68987-29RE</v>
      </c>
      <c r="J162" s="2">
        <f t="shared" ca="1" si="24"/>
        <v>41653</v>
      </c>
      <c r="K162" s="3">
        <f t="shared" ca="1" si="25"/>
        <v>116.18</v>
      </c>
      <c r="L162" s="4">
        <f t="shared" ca="1" si="26"/>
        <v>77.92</v>
      </c>
      <c r="M162" s="5" t="str">
        <f t="shared" ca="1" si="27"/>
        <v>Yes</v>
      </c>
      <c r="N162">
        <f t="shared" ca="1" si="28"/>
        <v>5</v>
      </c>
      <c r="O162" t="str">
        <f t="shared" ca="1" si="29"/>
        <v>Mining</v>
      </c>
    </row>
    <row r="163" spans="8:15" x14ac:dyDescent="0.25">
      <c r="H163" t="s">
        <v>169</v>
      </c>
      <c r="I163" t="str">
        <f ca="1">CONCATENATE(RANDBETWEEN(10000,99999),"-",RANDBETWEEN(10,99),UPPER(MID(Table1[[#This Row],[Asset]],2,2)))</f>
        <v>93328-93ED</v>
      </c>
      <c r="J163" s="2">
        <f t="shared" ref="J163:J170" ca="1" si="30">RANDBETWEEN(41600,41840)</f>
        <v>41834</v>
      </c>
      <c r="K163" s="3">
        <f t="shared" ref="K163:K170" ca="1" si="31">RANDBETWEEN(1000,15000)/100</f>
        <v>23.99</v>
      </c>
      <c r="L163" s="4">
        <f t="shared" ref="L163:L170" ca="1" si="32">RANDBETWEEN(-5000,8000)/100</f>
        <v>45.21</v>
      </c>
      <c r="M163" s="5" t="str">
        <f t="shared" ref="M163:M170" ca="1" si="33">IF(RAND()&gt;0.5,"Yes","No")</f>
        <v>Yes</v>
      </c>
      <c r="N163">
        <f t="shared" ref="N163:N170" ca="1" si="34">RANDBETWEEN(1,20)</f>
        <v>1</v>
      </c>
      <c r="O163" t="str">
        <f t="shared" ref="O163:O170" ca="1" si="35">IF(RAND()&gt;0.5,"Mining",IF(RAND()&gt;0.4,"Crafting","Minecrafting"))</f>
        <v>Mining</v>
      </c>
    </row>
    <row r="164" spans="8:15" x14ac:dyDescent="0.25">
      <c r="H164" t="s">
        <v>170</v>
      </c>
      <c r="I164" t="str">
        <f ca="1">CONCATENATE(RANDBETWEEN(10000,99999),"-",RANDBETWEEN(10,99),UPPER(MID(Table1[[#This Row],[Asset]],2,2)))</f>
        <v>44203-62LA</v>
      </c>
      <c r="J164" s="2">
        <f t="shared" ca="1" si="30"/>
        <v>41647</v>
      </c>
      <c r="K164" s="3">
        <f t="shared" ca="1" si="31"/>
        <v>42.92</v>
      </c>
      <c r="L164" s="4">
        <f t="shared" ca="1" si="32"/>
        <v>-40.520000000000003</v>
      </c>
      <c r="M164" s="5" t="str">
        <f t="shared" ca="1" si="33"/>
        <v>Yes</v>
      </c>
      <c r="N164">
        <f t="shared" ca="1" si="34"/>
        <v>2</v>
      </c>
      <c r="O164" t="str">
        <f t="shared" ca="1" si="35"/>
        <v>Crafting</v>
      </c>
    </row>
    <row r="165" spans="8:15" x14ac:dyDescent="0.25">
      <c r="H165" t="s">
        <v>171</v>
      </c>
      <c r="I165" t="str">
        <f ca="1">CONCATENATE(RANDBETWEEN(10000,99999),"-",RANDBETWEEN(10,99),UPPER(MID(Table1[[#This Row],[Asset]],2,2)))</f>
        <v>12341-54CA</v>
      </c>
      <c r="J165" s="2">
        <f t="shared" ca="1" si="30"/>
        <v>41716</v>
      </c>
      <c r="K165" s="3">
        <f t="shared" ca="1" si="31"/>
        <v>145.94</v>
      </c>
      <c r="L165" s="4">
        <f t="shared" ca="1" si="32"/>
        <v>-8.26</v>
      </c>
      <c r="M165" s="5" t="str">
        <f t="shared" ca="1" si="33"/>
        <v>Yes</v>
      </c>
      <c r="N165">
        <f t="shared" ca="1" si="34"/>
        <v>2</v>
      </c>
      <c r="O165" t="str">
        <f t="shared" ca="1" si="35"/>
        <v>Mining</v>
      </c>
    </row>
    <row r="166" spans="8:15" x14ac:dyDescent="0.25">
      <c r="H166" t="s">
        <v>172</v>
      </c>
      <c r="I166" t="str">
        <f ca="1">CONCATENATE(RANDBETWEEN(10000,99999),"-",RANDBETWEEN(10,99),UPPER(MID(Table1[[#This Row],[Asset]],2,2)))</f>
        <v>76539-67AR</v>
      </c>
      <c r="J166" s="2">
        <f t="shared" ca="1" si="30"/>
        <v>41684</v>
      </c>
      <c r="K166" s="3">
        <f t="shared" ca="1" si="31"/>
        <v>61.87</v>
      </c>
      <c r="L166" s="4">
        <f t="shared" ca="1" si="32"/>
        <v>15.03</v>
      </c>
      <c r="M166" s="5" t="str">
        <f t="shared" ca="1" si="33"/>
        <v>Yes</v>
      </c>
      <c r="N166">
        <f t="shared" ca="1" si="34"/>
        <v>15</v>
      </c>
      <c r="O166" t="str">
        <f t="shared" ca="1" si="35"/>
        <v>Mining</v>
      </c>
    </row>
    <row r="167" spans="8:15" x14ac:dyDescent="0.25">
      <c r="H167" t="s">
        <v>173</v>
      </c>
      <c r="I167" t="str">
        <f ca="1">CONCATENATE(RANDBETWEEN(10000,99999),"-",RANDBETWEEN(10,99),UPPER(MID(Table1[[#This Row],[Asset]],2,2)))</f>
        <v>34741-88CA</v>
      </c>
      <c r="J167" s="2">
        <f t="shared" ca="1" si="30"/>
        <v>41661</v>
      </c>
      <c r="K167" s="3">
        <f t="shared" ca="1" si="31"/>
        <v>90.72</v>
      </c>
      <c r="L167" s="4">
        <f t="shared" ca="1" si="32"/>
        <v>49.85</v>
      </c>
      <c r="M167" s="5" t="str">
        <f t="shared" ca="1" si="33"/>
        <v>Yes</v>
      </c>
      <c r="N167">
        <f t="shared" ca="1" si="34"/>
        <v>16</v>
      </c>
      <c r="O167" t="str">
        <f t="shared" ca="1" si="35"/>
        <v>Minecrafting</v>
      </c>
    </row>
    <row r="168" spans="8:15" x14ac:dyDescent="0.25">
      <c r="H168" t="s">
        <v>174</v>
      </c>
      <c r="I168" t="str">
        <f ca="1">CONCATENATE(RANDBETWEEN(10000,99999),"-",RANDBETWEEN(10,99),UPPER(MID(Table1[[#This Row],[Asset]],2,2)))</f>
        <v>64821-78AR</v>
      </c>
      <c r="J168" s="2">
        <f t="shared" ca="1" si="30"/>
        <v>41674</v>
      </c>
      <c r="K168" s="3">
        <f t="shared" ca="1" si="31"/>
        <v>99.08</v>
      </c>
      <c r="L168" s="4">
        <f t="shared" ca="1" si="32"/>
        <v>-46.76</v>
      </c>
      <c r="M168" s="5" t="str">
        <f t="shared" ca="1" si="33"/>
        <v>Yes</v>
      </c>
      <c r="N168">
        <f t="shared" ca="1" si="34"/>
        <v>2</v>
      </c>
      <c r="O168" t="str">
        <f t="shared" ca="1" si="35"/>
        <v>Minecrafting</v>
      </c>
    </row>
    <row r="169" spans="8:15" x14ac:dyDescent="0.25">
      <c r="H169" t="s">
        <v>175</v>
      </c>
      <c r="I169" t="str">
        <f ca="1">CONCATENATE(RANDBETWEEN(10000,99999),"-",RANDBETWEEN(10,99),UPPER(MID(Table1[[#This Row],[Asset]],2,2)))</f>
        <v>44996-92CA</v>
      </c>
      <c r="J169" s="2">
        <f t="shared" ca="1" si="30"/>
        <v>41812</v>
      </c>
      <c r="K169" s="3">
        <f t="shared" ca="1" si="31"/>
        <v>82.91</v>
      </c>
      <c r="L169" s="4">
        <f t="shared" ca="1" si="32"/>
        <v>-31.84</v>
      </c>
      <c r="M169" s="5" t="str">
        <f t="shared" ca="1" si="33"/>
        <v>No</v>
      </c>
      <c r="N169">
        <f t="shared" ca="1" si="34"/>
        <v>6</v>
      </c>
      <c r="O169" t="str">
        <f t="shared" ca="1" si="35"/>
        <v>Mining</v>
      </c>
    </row>
    <row r="170" spans="8:15" x14ac:dyDescent="0.25">
      <c r="H170" t="s">
        <v>176</v>
      </c>
      <c r="I170" t="str">
        <f ca="1">CONCATENATE(RANDBETWEEN(10000,99999),"-",RANDBETWEEN(10,99),UPPER(MID(Table1[[#This Row],[Asset]],2,2)))</f>
        <v>43924-19AR</v>
      </c>
      <c r="J170" s="2">
        <f t="shared" ca="1" si="30"/>
        <v>41701</v>
      </c>
      <c r="K170" s="3">
        <f t="shared" ca="1" si="31"/>
        <v>139.32</v>
      </c>
      <c r="L170" s="4">
        <f t="shared" ca="1" si="32"/>
        <v>52.85</v>
      </c>
      <c r="M170" s="5" t="str">
        <f t="shared" ca="1" si="33"/>
        <v>No</v>
      </c>
      <c r="N170">
        <f t="shared" ca="1" si="34"/>
        <v>20</v>
      </c>
      <c r="O170" t="str">
        <f t="shared" ca="1" si="35"/>
        <v>Mining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2"/>
  <sheetViews>
    <sheetView workbookViewId="0">
      <selection activeCell="F3" sqref="F3:H5"/>
    </sheetView>
  </sheetViews>
  <sheetFormatPr defaultRowHeight="15" x14ac:dyDescent="0.25"/>
  <cols>
    <col min="1" max="1" width="8.5703125" customWidth="1"/>
    <col min="2" max="2" width="2.85546875" customWidth="1"/>
    <col min="3" max="19" width="8.5703125" customWidth="1"/>
    <col min="20" max="24" width="7.140625" customWidth="1"/>
  </cols>
  <sheetData>
    <row r="1" spans="1:15" x14ac:dyDescent="0.25">
      <c r="A1" t="s">
        <v>189</v>
      </c>
    </row>
    <row r="2" spans="1:15" ht="39.6" customHeight="1" thickBot="1" x14ac:dyDescent="0.3"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</row>
    <row r="3" spans="1:15" ht="39.6" customHeight="1" thickTop="1" thickBot="1" x14ac:dyDescent="0.3">
      <c r="C3" s="18"/>
      <c r="D3" s="18"/>
      <c r="E3" s="18"/>
      <c r="F3" s="21" t="s">
        <v>219</v>
      </c>
      <c r="G3" s="22"/>
      <c r="H3" s="23"/>
      <c r="I3" s="18"/>
      <c r="J3" s="18"/>
      <c r="K3" s="18"/>
      <c r="L3" s="18"/>
      <c r="M3" s="18"/>
      <c r="N3" s="18"/>
      <c r="O3" s="18"/>
    </row>
    <row r="4" spans="1:15" ht="39.6" customHeight="1" thickTop="1" thickBot="1" x14ac:dyDescent="0.3">
      <c r="C4" s="18"/>
      <c r="D4" s="18"/>
      <c r="E4" s="18"/>
      <c r="F4" s="24"/>
      <c r="G4" s="25"/>
      <c r="H4" s="26"/>
      <c r="I4" s="19" t="s">
        <v>188</v>
      </c>
      <c r="J4" s="20"/>
      <c r="K4" s="11" t="str">
        <f>IF($F$3="Crafting Complete!","Wooden Pickaxe","")</f>
        <v/>
      </c>
      <c r="L4" s="18"/>
      <c r="M4" s="18"/>
      <c r="N4" s="18"/>
      <c r="O4" s="18"/>
    </row>
    <row r="5" spans="1:15" ht="39.6" customHeight="1" thickTop="1" thickBot="1" x14ac:dyDescent="0.3">
      <c r="C5" s="18"/>
      <c r="D5" s="18"/>
      <c r="E5" s="18"/>
      <c r="F5" s="27"/>
      <c r="G5" s="28"/>
      <c r="H5" s="29"/>
      <c r="I5" s="18"/>
      <c r="J5" s="18"/>
      <c r="K5" s="18"/>
      <c r="L5" s="18"/>
      <c r="M5" s="18"/>
      <c r="N5" s="18"/>
      <c r="O5" s="18"/>
    </row>
    <row r="6" spans="1:15" ht="39.6" customHeight="1" thickTop="1" thickBot="1" x14ac:dyDescent="0.3"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ht="39.6" customHeight="1" thickTop="1" thickBot="1" x14ac:dyDescent="0.3">
      <c r="C7" s="18"/>
      <c r="D7" s="18"/>
      <c r="E7" s="11">
        <f t="shared" ref="E7:K8" ca="1" si="0">RANDBETWEEN(ROW()+COLUMN(),ROW()*COLUMN())</f>
        <v>22</v>
      </c>
      <c r="F7" s="11">
        <f t="shared" ca="1" si="0"/>
        <v>30</v>
      </c>
      <c r="G7" s="11">
        <f t="shared" ca="1" si="0"/>
        <v>46</v>
      </c>
      <c r="H7" s="11">
        <f t="shared" ca="1" si="0"/>
        <v>24</v>
      </c>
      <c r="I7" s="11">
        <f t="shared" ca="1" si="0"/>
        <v>63</v>
      </c>
      <c r="J7" s="11">
        <f t="shared" ca="1" si="0"/>
        <v>38</v>
      </c>
      <c r="K7" s="11">
        <f t="shared" ca="1" si="0"/>
        <v>42</v>
      </c>
      <c r="L7" s="11" t="s">
        <v>206</v>
      </c>
      <c r="M7" s="11" t="s">
        <v>206</v>
      </c>
      <c r="N7" s="18"/>
      <c r="O7" s="18"/>
    </row>
    <row r="8" spans="1:15" ht="39.6" customHeight="1" thickTop="1" thickBot="1" x14ac:dyDescent="0.3">
      <c r="C8" s="18"/>
      <c r="D8" s="18"/>
      <c r="E8" s="11">
        <f t="shared" ca="1" si="0"/>
        <v>39</v>
      </c>
      <c r="F8" s="11">
        <f t="shared" ca="1" si="0"/>
        <v>19</v>
      </c>
      <c r="G8" s="11">
        <f t="shared" ca="1" si="0"/>
        <v>39</v>
      </c>
      <c r="H8" s="11">
        <f t="shared" ca="1" si="0"/>
        <v>45</v>
      </c>
      <c r="I8" s="11">
        <f t="shared" ca="1" si="0"/>
        <v>31</v>
      </c>
      <c r="J8" s="11">
        <f t="shared" ca="1" si="0"/>
        <v>28</v>
      </c>
      <c r="K8" s="11">
        <f t="shared" ca="1" si="0"/>
        <v>39</v>
      </c>
      <c r="L8" s="11" t="s">
        <v>206</v>
      </c>
      <c r="M8" s="11" t="s">
        <v>206</v>
      </c>
      <c r="N8" s="18"/>
      <c r="O8" s="18"/>
    </row>
    <row r="9" spans="1:15" ht="39.6" customHeight="1" thickTop="1" thickBot="1" x14ac:dyDescent="0.3">
      <c r="C9" s="18"/>
      <c r="D9" s="18"/>
      <c r="E9" s="11" t="s">
        <v>204</v>
      </c>
      <c r="F9" s="11" t="s">
        <v>205</v>
      </c>
      <c r="G9" s="11">
        <f t="shared" ref="G9:K9" ca="1" si="1">RANDBETWEEN(ROW()+COLUMN(),ROW()*COLUMN())</f>
        <v>63</v>
      </c>
      <c r="H9" s="11">
        <f t="shared" ca="1" si="1"/>
        <v>69</v>
      </c>
      <c r="I9" s="11">
        <f t="shared" ca="1" si="1"/>
        <v>58</v>
      </c>
      <c r="J9" s="11">
        <f t="shared" ca="1" si="1"/>
        <v>46</v>
      </c>
      <c r="K9" s="11">
        <f t="shared" ca="1" si="1"/>
        <v>36</v>
      </c>
      <c r="L9" s="11" t="s">
        <v>218</v>
      </c>
      <c r="M9" s="11" t="s">
        <v>206</v>
      </c>
      <c r="N9" s="18"/>
      <c r="O9" s="18"/>
    </row>
    <row r="10" spans="1:15" ht="39.6" customHeight="1" thickTop="1" thickBot="1" x14ac:dyDescent="0.3"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</row>
    <row r="11" spans="1:15" ht="39.6" customHeight="1" thickTop="1" thickBot="1" x14ac:dyDescent="0.3">
      <c r="C11" s="18"/>
      <c r="D11" s="18"/>
      <c r="E11" s="11" t="s">
        <v>212</v>
      </c>
      <c r="F11" s="11" t="s">
        <v>198</v>
      </c>
      <c r="G11" s="11" t="s">
        <v>199</v>
      </c>
      <c r="H11" s="11" t="s">
        <v>200</v>
      </c>
      <c r="I11" s="11">
        <v>0</v>
      </c>
      <c r="J11" s="11">
        <v>0</v>
      </c>
      <c r="K11" s="11">
        <v>0</v>
      </c>
      <c r="L11" s="11" t="e">
        <f>VLOOKUP(1,A1:C1,2,TRUE)</f>
        <v>#N/A</v>
      </c>
      <c r="M11" s="11" t="e">
        <f t="shared" ref="M11" si="2">VLOOKUP(1,#REF!,2,TRUE)</f>
        <v>#REF!</v>
      </c>
      <c r="N11" s="18"/>
      <c r="O11" s="18"/>
    </row>
    <row r="12" spans="1:15" ht="39" customHeight="1" thickTop="1" x14ac:dyDescent="0.25"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</row>
  </sheetData>
  <mergeCells count="2">
    <mergeCell ref="I4:J4"/>
    <mergeCell ref="F3:H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8"/>
  <sheetViews>
    <sheetView workbookViewId="0">
      <selection activeCell="L23" sqref="L23"/>
    </sheetView>
  </sheetViews>
  <sheetFormatPr defaultRowHeight="15" x14ac:dyDescent="0.25"/>
  <sheetData>
    <row r="1" spans="1:2" ht="18" thickBot="1" x14ac:dyDescent="0.35">
      <c r="A1" s="14" t="s">
        <v>190</v>
      </c>
    </row>
    <row r="2" spans="1:2" ht="15.75" thickTop="1" x14ac:dyDescent="0.25"/>
    <row r="3" spans="1:2" ht="15.75" thickBot="1" x14ac:dyDescent="0.3">
      <c r="A3" s="15" t="s">
        <v>216</v>
      </c>
    </row>
    <row r="4" spans="1:2" x14ac:dyDescent="0.25">
      <c r="A4" t="s">
        <v>215</v>
      </c>
    </row>
    <row r="5" spans="1:2" x14ac:dyDescent="0.25">
      <c r="A5" t="s">
        <v>191</v>
      </c>
    </row>
    <row r="6" spans="1:2" ht="15.75" thickBot="1" x14ac:dyDescent="0.3">
      <c r="A6" s="15" t="s">
        <v>192</v>
      </c>
    </row>
    <row r="7" spans="1:2" x14ac:dyDescent="0.25">
      <c r="A7" t="s">
        <v>193</v>
      </c>
    </row>
    <row r="8" spans="1:2" x14ac:dyDescent="0.25">
      <c r="A8" t="s">
        <v>194</v>
      </c>
    </row>
    <row r="9" spans="1:2" x14ac:dyDescent="0.25">
      <c r="B9" t="s">
        <v>232</v>
      </c>
    </row>
    <row r="11" spans="1:2" x14ac:dyDescent="0.25">
      <c r="A11" t="s">
        <v>195</v>
      </c>
    </row>
    <row r="12" spans="1:2" x14ac:dyDescent="0.25">
      <c r="A12" t="s">
        <v>196</v>
      </c>
    </row>
    <row r="13" spans="1:2" x14ac:dyDescent="0.25">
      <c r="B13" t="s">
        <v>227</v>
      </c>
    </row>
    <row r="14" spans="1:2" x14ac:dyDescent="0.25">
      <c r="B14" t="s">
        <v>228</v>
      </c>
    </row>
    <row r="15" spans="1:2" x14ac:dyDescent="0.25">
      <c r="B15" t="s">
        <v>229</v>
      </c>
    </row>
    <row r="16" spans="1:2" x14ac:dyDescent="0.25">
      <c r="B16" t="s">
        <v>233</v>
      </c>
    </row>
    <row r="17" spans="1:1" x14ac:dyDescent="0.25">
      <c r="A17" t="s">
        <v>217</v>
      </c>
    </row>
    <row r="20" spans="1:1" ht="15.75" thickBot="1" x14ac:dyDescent="0.3">
      <c r="A20" s="15" t="s">
        <v>214</v>
      </c>
    </row>
    <row r="21" spans="1:1" x14ac:dyDescent="0.25">
      <c r="A21" t="s">
        <v>215</v>
      </c>
    </row>
    <row r="23" spans="1:1" ht="15.75" thickBot="1" x14ac:dyDescent="0.3">
      <c r="A23" s="15" t="s">
        <v>197</v>
      </c>
    </row>
    <row r="24" spans="1:1" x14ac:dyDescent="0.25">
      <c r="A24" t="s">
        <v>207</v>
      </c>
    </row>
    <row r="25" spans="1:1" x14ac:dyDescent="0.25">
      <c r="A25" t="s">
        <v>208</v>
      </c>
    </row>
    <row r="26" spans="1:1" x14ac:dyDescent="0.25">
      <c r="A26" t="s">
        <v>209</v>
      </c>
    </row>
    <row r="27" spans="1:1" x14ac:dyDescent="0.25">
      <c r="A27" t="s">
        <v>210</v>
      </c>
    </row>
    <row r="28" spans="1:1" x14ac:dyDescent="0.25">
      <c r="A28" t="s">
        <v>213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Title Screen</vt:lpstr>
      <vt:lpstr>Game</vt:lpstr>
      <vt:lpstr>Expense Reports</vt:lpstr>
      <vt:lpstr>Workbench</vt:lpstr>
      <vt:lpstr>Sheet1</vt:lpstr>
      <vt:lpstr>GameScreen</vt:lpstr>
      <vt:lpstr>InventoryRow</vt:lpstr>
      <vt:lpstr>KeyboardStatus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Constantine</dc:creator>
  <cp:lastModifiedBy>Seth</cp:lastModifiedBy>
  <dcterms:created xsi:type="dcterms:W3CDTF">2014-09-22T16:44:03Z</dcterms:created>
  <dcterms:modified xsi:type="dcterms:W3CDTF">2014-09-26T06:10:42Z</dcterms:modified>
</cp:coreProperties>
</file>